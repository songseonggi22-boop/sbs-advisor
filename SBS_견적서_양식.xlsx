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견적서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4">
    <numFmt numFmtId="164" formatCode="_-* #,##0_-;\-* #,##0_-;_-* &quot;-&quot;_-;_-@_-"/>
    <numFmt numFmtId="165" formatCode="0&quot;개월&quot;"/>
    <numFmt numFmtId="166" formatCode="&quot;총&quot;\ 0\ &quot;개월&quot;"/>
    <numFmt numFmtId="167" formatCode="_-* #,##0_-;\-* #,##0_-;_-* &quot;-&quot;??_-;_-@_-"/>
  </numFmts>
  <fonts count="20">
    <font>
      <name val="Calibri"/>
      <family val="2"/>
      <color theme="1"/>
      <sz val="11"/>
      <scheme val="minor"/>
    </font>
    <font>
      <name val="굴림"/>
      <charset val="129"/>
      <family val="3"/>
      <b val="1"/>
      <sz val="18"/>
    </font>
    <font>
      <name val="돋움"/>
      <charset val="129"/>
      <family val="3"/>
      <sz val="11"/>
    </font>
    <font>
      <name val="굴림"/>
      <charset val="129"/>
      <family val="3"/>
      <sz val="11"/>
    </font>
    <font>
      <name val="굴림"/>
      <charset val="129"/>
      <family val="3"/>
      <b val="1"/>
      <sz val="10"/>
    </font>
    <font>
      <name val="굴림"/>
      <charset val="129"/>
      <family val="3"/>
      <sz val="10"/>
    </font>
    <font>
      <name val="굴림"/>
      <charset val="129"/>
      <family val="3"/>
      <b val="1"/>
      <sz val="11"/>
    </font>
    <font>
      <name val="굴림"/>
      <charset val="129"/>
      <family val="3"/>
      <sz val="8"/>
    </font>
    <font>
      <name val="굴림"/>
      <charset val="129"/>
      <family val="3"/>
      <b val="1"/>
      <sz val="9"/>
    </font>
    <font>
      <name val="맑은 고딕"/>
      <charset val="129"/>
      <family val="3"/>
      <sz val="10"/>
      <scheme val="minor"/>
    </font>
    <font>
      <name val="맑은 고딕"/>
      <charset val="129"/>
      <family val="3"/>
      <color theme="1"/>
      <sz val="10"/>
      <scheme val="minor"/>
    </font>
    <font>
      <name val="굴림"/>
      <charset val="129"/>
      <family val="3"/>
      <sz val="9"/>
    </font>
    <font>
      <name val="굴림"/>
      <charset val="129"/>
      <family val="3"/>
      <b val="1"/>
      <color rgb="FFC00000"/>
      <sz val="9"/>
    </font>
    <font>
      <name val="HyhwpEQ"/>
      <charset val="129"/>
      <family val="1"/>
      <sz val="8"/>
    </font>
    <font>
      <name val="HyhwpEQ"/>
      <charset val="129"/>
      <family val="1"/>
      <color indexed="8"/>
      <sz val="8"/>
    </font>
    <font>
      <name val="휴먼모음T"/>
      <charset val="129"/>
      <family val="1"/>
      <sz val="8"/>
    </font>
    <font>
      <name val="HyhwpEQ"/>
      <charset val="129"/>
      <family val="1"/>
      <sz val="9"/>
    </font>
    <font>
      <name val="휴먼모음T"/>
      <charset val="129"/>
      <family val="1"/>
      <sz val="10"/>
    </font>
    <font>
      <name val="함초롬돋움 확장"/>
      <charset val="129"/>
      <family val="1"/>
      <b val="1"/>
      <sz val="10"/>
      <u val="single"/>
    </font>
    <font>
      <name val="함초롬돋움 확장"/>
      <charset val="129"/>
      <family val="1"/>
      <b val="1"/>
      <sz val="10"/>
    </font>
  </fonts>
  <fills count="7">
    <fill>
      <patternFill/>
    </fill>
    <fill>
      <patternFill patternType="gray125"/>
    </fill>
    <fill>
      <patternFill patternType="solid">
        <fgColor theme="0" tint="-0.249977111117893"/>
        <bgColor indexed="22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3" borderId="4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4" fillId="3" borderId="0" applyAlignment="1" pivotButton="0" quotePrefix="0" xfId="0">
      <alignment horizontal="right" vertical="center"/>
    </xf>
    <xf numFmtId="14" fontId="4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vertical="center"/>
    </xf>
    <xf numFmtId="0" fontId="5" fillId="3" borderId="5" applyAlignment="1" pivotButton="0" quotePrefix="0" xfId="0">
      <alignment horizontal="center" vertical="center"/>
    </xf>
    <xf numFmtId="0" fontId="6" fillId="3" borderId="0" applyAlignment="1" pivotButton="0" quotePrefix="0" xfId="0">
      <alignment horizontal="right" vertical="center"/>
    </xf>
    <xf numFmtId="14" fontId="6" fillId="3" borderId="0" applyAlignment="1" pivotButton="0" quotePrefix="0" xfId="0">
      <alignment horizontal="center" vertical="center"/>
    </xf>
    <xf numFmtId="14" fontId="6" fillId="3" borderId="0" applyAlignment="1" pivotButton="0" quotePrefix="0" xfId="0">
      <alignment horizontal="right" vertical="center"/>
    </xf>
    <xf numFmtId="0" fontId="6" fillId="3" borderId="0" applyAlignment="1" pivotButton="0" quotePrefix="0" xfId="0">
      <alignment vertical="center"/>
    </xf>
    <xf numFmtId="0" fontId="4" fillId="3" borderId="5" applyAlignment="1" pivotButton="0" quotePrefix="0" xfId="0">
      <alignment vertical="center"/>
    </xf>
    <xf numFmtId="0" fontId="6" fillId="3" borderId="4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14" fontId="7" fillId="3" borderId="5" applyAlignment="1" pivotButton="0" quotePrefix="0" xfId="0">
      <alignment vertical="center"/>
    </xf>
    <xf numFmtId="0" fontId="8" fillId="4" borderId="6" applyAlignment="1" pivotButton="0" quotePrefix="0" xfId="0">
      <alignment horizontal="center" vertical="center"/>
    </xf>
    <xf numFmtId="0" fontId="8" fillId="4" borderId="7" applyAlignment="1" pivotButton="0" quotePrefix="0" xfId="0">
      <alignment horizontal="center" vertical="center"/>
    </xf>
    <xf numFmtId="0" fontId="0" fillId="0" borderId="8" pivotButton="0" quotePrefix="0" xfId="0"/>
    <xf numFmtId="0" fontId="8" fillId="4" borderId="9" applyAlignment="1" pivotButton="0" quotePrefix="0" xfId="0">
      <alignment horizontal="center" vertical="center"/>
    </xf>
    <xf numFmtId="0" fontId="0" fillId="0" borderId="10" pivotButton="0" quotePrefix="0" xfId="0"/>
    <xf numFmtId="164" fontId="9" fillId="5" borderId="0" applyAlignment="1" pivotButton="0" quotePrefix="0" xfId="0">
      <alignment horizontal="left" vertical="center"/>
    </xf>
    <xf numFmtId="164" fontId="10" fillId="5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8" fillId="0" borderId="11" applyAlignment="1" pivotButton="0" quotePrefix="0" xfId="0">
      <alignment horizontal="center" vertical="center" wrapText="1"/>
    </xf>
    <xf numFmtId="0" fontId="11" fillId="0" borderId="7" applyAlignment="1" pivotButton="0" quotePrefix="0" xfId="0">
      <alignment vertical="center"/>
    </xf>
    <xf numFmtId="165" fontId="11" fillId="0" borderId="7" applyAlignment="1" pivotButton="0" quotePrefix="0" xfId="0">
      <alignment horizontal="center" vertical="center"/>
    </xf>
    <xf numFmtId="0" fontId="11" fillId="0" borderId="12" applyAlignment="1" pivotButton="0" quotePrefix="0" xfId="0">
      <alignment horizontal="center" vertical="center"/>
    </xf>
    <xf numFmtId="164" fontId="11" fillId="0" borderId="9" applyAlignment="1" pivotButton="0" quotePrefix="0" xfId="0">
      <alignment horizontal="center" vertical="center"/>
    </xf>
    <xf numFmtId="0" fontId="0" fillId="0" borderId="11" pivotButton="0" quotePrefix="0" xfId="0"/>
    <xf numFmtId="0" fontId="3" fillId="0" borderId="0" applyAlignment="1" pivotButton="0" quotePrefix="0" xfId="0">
      <alignment horizontal="center" vertical="center"/>
    </xf>
    <xf numFmtId="0" fontId="2" fillId="0" borderId="11" pivotButton="0" quotePrefix="0" xfId="0"/>
    <xf numFmtId="0" fontId="8" fillId="3" borderId="13" applyAlignment="1" pivotButton="0" quotePrefix="0" xfId="0">
      <alignment vertical="center" wrapText="1"/>
    </xf>
    <xf numFmtId="0" fontId="11" fillId="0" borderId="14" applyAlignment="1" pivotButton="0" quotePrefix="0" xfId="0">
      <alignment vertical="center"/>
    </xf>
    <xf numFmtId="3" fontId="11" fillId="0" borderId="15" applyAlignment="1" pivotButton="0" quotePrefix="0" xfId="0">
      <alignment vertical="center"/>
    </xf>
    <xf numFmtId="166" fontId="8" fillId="6" borderId="16" applyAlignment="1" pivotButton="0" quotePrefix="0" xfId="0">
      <alignment horizontal="center" vertical="center" wrapText="1"/>
    </xf>
    <xf numFmtId="0" fontId="8" fillId="6" borderId="17" applyAlignment="1" pivotButton="0" quotePrefix="0" xfId="0">
      <alignment horizontal="center" vertical="center" wrapText="1"/>
    </xf>
    <xf numFmtId="164" fontId="8" fillId="6" borderId="18" applyAlignment="1" pivotButton="0" quotePrefix="0" xfId="0">
      <alignment horizontal="center" vertical="center" wrapText="1"/>
    </xf>
    <xf numFmtId="0" fontId="0" fillId="0" borderId="18" pivotButton="0" quotePrefix="0" xfId="0"/>
    <xf numFmtId="0" fontId="8" fillId="0" borderId="4" applyAlignment="1" pivotButton="0" quotePrefix="0" xfId="0">
      <alignment horizontal="left" vertical="center"/>
    </xf>
    <xf numFmtId="0" fontId="11" fillId="3" borderId="0" applyAlignment="1" pivotButton="0" quotePrefix="0" xfId="0">
      <alignment horizontal="left" vertical="center"/>
    </xf>
    <xf numFmtId="0" fontId="7" fillId="3" borderId="19" applyAlignment="1" pivotButton="0" quotePrefix="0" xfId="0">
      <alignment vertical="center"/>
    </xf>
    <xf numFmtId="0" fontId="7" fillId="3" borderId="0" applyAlignment="1" pivotButton="0" quotePrefix="0" xfId="0">
      <alignment vertical="center"/>
    </xf>
    <xf numFmtId="0" fontId="7" fillId="3" borderId="5" applyAlignment="1" pivotButton="0" quotePrefix="0" xfId="0">
      <alignment horizontal="center" vertical="center"/>
    </xf>
    <xf numFmtId="0" fontId="0" fillId="0" borderId="20" pivotButton="0" quotePrefix="0" xfId="0"/>
    <xf numFmtId="164" fontId="8" fillId="4" borderId="9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 wrapText="1"/>
    </xf>
    <xf numFmtId="0" fontId="8" fillId="0" borderId="12" applyAlignment="1" pivotButton="0" quotePrefix="0" xfId="0">
      <alignment horizontal="center" vertical="center"/>
    </xf>
    <xf numFmtId="9" fontId="8" fillId="0" borderId="7" applyAlignment="1" pivotButton="0" quotePrefix="0" xfId="0">
      <alignment horizontal="center" vertical="center"/>
    </xf>
    <xf numFmtId="164" fontId="8" fillId="3" borderId="10" applyAlignment="1" pivotButton="0" quotePrefix="0" xfId="0">
      <alignment horizontal="center" vertical="center"/>
    </xf>
    <xf numFmtId="9" fontId="8" fillId="0" borderId="21" applyAlignment="1" pivotButton="0" quotePrefix="0" xfId="0">
      <alignment horizontal="center" vertical="center"/>
    </xf>
    <xf numFmtId="164" fontId="8" fillId="3" borderId="9" applyAlignment="1" pivotButton="0" quotePrefix="0" xfId="0">
      <alignment horizontal="center" vertical="center"/>
    </xf>
    <xf numFmtId="0" fontId="0" fillId="0" borderId="22" pivotButton="0" quotePrefix="0" xfId="0"/>
    <xf numFmtId="9" fontId="8" fillId="0" borderId="8" applyAlignment="1" pivotButton="0" quotePrefix="0" xfId="0">
      <alignment horizontal="center" vertical="center"/>
    </xf>
    <xf numFmtId="0" fontId="12" fillId="6" borderId="6" applyAlignment="1" pivotButton="0" quotePrefix="0" xfId="0">
      <alignment horizontal="center" vertical="center"/>
    </xf>
    <xf numFmtId="164" fontId="12" fillId="6" borderId="9" applyAlignment="1" pivotButton="0" quotePrefix="0" xfId="0">
      <alignment horizontal="center" vertical="center"/>
    </xf>
    <xf numFmtId="0" fontId="8" fillId="6" borderId="6" applyAlignment="1" pivotButton="0" quotePrefix="0" xfId="0">
      <alignment horizontal="center" vertical="center"/>
    </xf>
    <xf numFmtId="164" fontId="8" fillId="6" borderId="9" applyAlignment="1" pivotButton="0" quotePrefix="0" xfId="0">
      <alignment horizontal="center" vertical="center"/>
    </xf>
    <xf numFmtId="167" fontId="8" fillId="6" borderId="9" applyAlignment="1" pivotButton="0" quotePrefix="0" xfId="0">
      <alignment horizontal="center" vertical="center"/>
    </xf>
    <xf numFmtId="0" fontId="11" fillId="3" borderId="4" applyAlignment="1" pivotButton="0" quotePrefix="0" xfId="0">
      <alignment horizontal="left" vertical="center"/>
    </xf>
    <xf numFmtId="0" fontId="7" fillId="3" borderId="0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9" fontId="3" fillId="0" borderId="0" applyAlignment="1" pivotButton="0" quotePrefix="0" xfId="0">
      <alignment horizontal="center" vertical="center"/>
    </xf>
    <xf numFmtId="0" fontId="8" fillId="3" borderId="4" applyAlignment="1" pivotButton="0" quotePrefix="0" xfId="0">
      <alignment horizontal="left" vertical="center"/>
    </xf>
    <xf numFmtId="0" fontId="13" fillId="3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center" vertical="center"/>
    </xf>
    <xf numFmtId="0" fontId="13" fillId="3" borderId="5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 vertical="center"/>
    </xf>
    <xf numFmtId="0" fontId="16" fillId="3" borderId="0" applyAlignment="1" pivotButton="0" quotePrefix="0" xfId="0">
      <alignment horizontal="center" vertical="center"/>
    </xf>
    <xf numFmtId="0" fontId="16" fillId="3" borderId="5" applyAlignment="1" pivotButton="0" quotePrefix="0" xfId="0">
      <alignment horizontal="center" vertical="center"/>
    </xf>
    <xf numFmtId="0" fontId="17" fillId="3" borderId="0" applyAlignment="1" pivotButton="0" quotePrefix="0" xfId="0">
      <alignment horizontal="center" vertical="center"/>
    </xf>
    <xf numFmtId="0" fontId="18" fillId="3" borderId="0" applyAlignment="1" pivotButton="0" quotePrefix="0" xfId="0">
      <alignment vertical="center"/>
    </xf>
    <xf numFmtId="0" fontId="19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cols>
    <col width="8.88671875" customWidth="1" min="1" max="1"/>
    <col width="29.21875" customWidth="1" min="2" max="2"/>
    <col width="14.5546875" customWidth="1" min="3" max="3"/>
    <col width="11.6640625" customWidth="1" min="4" max="4"/>
    <col width="10.77734375" customWidth="1" min="5" max="5"/>
    <col width="8.109375" customWidth="1" min="6" max="6"/>
    <col width="10.5546875" customWidth="1" min="7" max="7"/>
    <col width="5.6640625" customWidth="1" min="8" max="8"/>
    <col width="21.6640625" customWidth="1" min="9" max="9"/>
    <col width="19.44140625" customWidth="1" min="10" max="10"/>
    <col width="20" customWidth="1" min="11" max="11"/>
    <col width="19.44140625" customWidth="1" min="12" max="12"/>
    <col width="8.88671875" customWidth="1" min="13" max="13"/>
  </cols>
  <sheetData>
    <row r="1" ht="13.5" customHeight="1">
      <c r="A1" s="1" t="inlineStr">
        <is>
          <t>SBS아카데미 교육과정 수강료 안내</t>
        </is>
      </c>
      <c r="B1" s="2" t="n"/>
      <c r="C1" s="2" t="n"/>
      <c r="D1" s="2" t="n"/>
      <c r="E1" s="2" t="n"/>
      <c r="F1" s="2" t="n"/>
      <c r="G1" s="3" t="n"/>
    </row>
    <row r="2" ht="13.5" customHeight="1">
      <c r="A2" s="4" t="n"/>
      <c r="G2" s="5" t="n"/>
    </row>
    <row r="3" ht="13.5" customHeight="1">
      <c r="A3" s="4" t="n"/>
      <c r="G3" s="5" t="n"/>
    </row>
    <row r="4" ht="27" customHeight="1">
      <c r="A4" s="6" t="n"/>
      <c r="B4" s="7" t="n"/>
      <c r="C4" s="8" t="n"/>
      <c r="D4" s="9" t="n"/>
      <c r="E4" s="10" t="n"/>
      <c r="F4" s="11" t="n"/>
      <c r="G4" s="5" t="n"/>
    </row>
    <row r="5" ht="27" customHeight="1">
      <c r="A5" s="6" t="n"/>
      <c r="B5" s="7" t="n"/>
      <c r="C5" s="12" t="inlineStr">
        <is>
          <t xml:space="preserve">상 담 일 자 : </t>
        </is>
      </c>
      <c r="D5" s="13">
        <f>TODAY()</f>
        <v/>
      </c>
      <c r="E5" s="14" t="inlineStr">
        <is>
          <t xml:space="preserve">상 담 자 : </t>
        </is>
      </c>
      <c r="F5" s="15" t="inlineStr">
        <is>
          <t>안재현 교육멘토</t>
        </is>
      </c>
      <c r="G5" s="16" t="n"/>
    </row>
    <row r="6" ht="19.5" customHeight="1">
      <c r="A6" s="17" t="inlineStr">
        <is>
          <t xml:space="preserve">■  과정 및 수강료                              </t>
        </is>
      </c>
      <c r="B6" s="15" t="n"/>
      <c r="C6" s="8" t="n"/>
      <c r="D6" s="18" t="n"/>
      <c r="E6" s="12" t="inlineStr">
        <is>
          <t xml:space="preserve">연 락 처 : </t>
        </is>
      </c>
      <c r="F6" s="15" t="inlineStr">
        <is>
          <t>042-710-8921</t>
        </is>
      </c>
      <c r="G6" s="19" t="n"/>
    </row>
    <row r="7" ht="19.5" customHeight="1">
      <c r="A7" s="20" t="inlineStr">
        <is>
          <t>과 정</t>
        </is>
      </c>
      <c r="B7" s="21" t="inlineStr">
        <is>
          <t>과목명</t>
        </is>
      </c>
      <c r="C7" s="22" t="n"/>
      <c r="D7" s="21" t="inlineStr">
        <is>
          <t>COURSE</t>
        </is>
      </c>
      <c r="E7" s="21" t="inlineStr">
        <is>
          <t>DAY</t>
        </is>
      </c>
      <c r="F7" s="23" t="inlineStr">
        <is>
          <t>수강료</t>
        </is>
      </c>
      <c r="G7" s="24" t="n"/>
      <c r="I7" s="25" t="n"/>
      <c r="J7" s="26" t="n"/>
      <c r="K7" s="27" t="n"/>
      <c r="L7" s="27" t="n"/>
    </row>
    <row r="8" ht="19.5" customHeight="1">
      <c r="A8" s="28" t="n"/>
      <c r="B8" s="29" t="inlineStr">
        <is>
          <t>정보처리실기1/주말</t>
        </is>
      </c>
      <c r="C8" s="22" t="n"/>
      <c r="D8" s="30" t="n">
        <v>1</v>
      </c>
      <c r="E8" s="31" t="inlineStr">
        <is>
          <t>평일 / 주말</t>
        </is>
      </c>
      <c r="F8" s="32" t="n">
        <v>500000</v>
      </c>
      <c r="G8" s="24" t="n"/>
      <c r="I8" s="25" t="n"/>
      <c r="J8" s="26" t="n"/>
      <c r="K8" s="27" t="n"/>
      <c r="L8" s="27" t="n"/>
    </row>
    <row r="9" ht="19.5" customHeight="1">
      <c r="A9" s="33" t="n"/>
      <c r="B9" s="29" t="inlineStr">
        <is>
          <t>정보처리실기2/주말</t>
        </is>
      </c>
      <c r="C9" s="22" t="n"/>
      <c r="D9" s="30" t="n">
        <v>1</v>
      </c>
      <c r="E9" s="31" t="inlineStr">
        <is>
          <t>평일 / 주말</t>
        </is>
      </c>
      <c r="F9" s="32" t="n">
        <v>500000</v>
      </c>
      <c r="G9" s="24" t="n"/>
      <c r="I9" s="34" t="n"/>
      <c r="J9" s="34" t="n"/>
      <c r="K9" s="34" t="n"/>
      <c r="L9" s="34" t="n"/>
    </row>
    <row r="10" ht="19.5" customHeight="1">
      <c r="A10" s="35" t="n"/>
      <c r="B10" s="29" t="n"/>
      <c r="C10" s="22" t="n"/>
      <c r="D10" s="30" t="n"/>
      <c r="E10" s="31" t="n"/>
      <c r="F10" s="32" t="n"/>
      <c r="G10" s="24" t="n"/>
      <c r="I10" s="34" t="n"/>
      <c r="J10" s="34" t="n"/>
      <c r="K10" s="34" t="n"/>
      <c r="L10" s="34" t="n"/>
    </row>
    <row r="11" ht="19.5" customHeight="1">
      <c r="A11" s="35" t="n"/>
      <c r="B11" s="29" t="n"/>
      <c r="C11" s="22" t="n"/>
      <c r="D11" s="30" t="n"/>
      <c r="E11" s="31" t="n"/>
      <c r="F11" s="32" t="n"/>
      <c r="G11" s="24" t="n"/>
      <c r="I11" s="34" t="n"/>
      <c r="J11" s="34" t="n"/>
      <c r="K11" s="34" t="n"/>
      <c r="L11" s="34" t="n"/>
    </row>
    <row r="12" ht="19.5" customHeight="1">
      <c r="A12" s="35" t="n"/>
      <c r="B12" s="29" t="n"/>
      <c r="C12" s="22" t="n"/>
      <c r="D12" s="30" t="n"/>
      <c r="E12" s="31" t="n"/>
      <c r="F12" s="32" t="n"/>
      <c r="G12" s="24" t="n"/>
      <c r="I12" s="34" t="n"/>
      <c r="J12" s="34" t="n"/>
      <c r="K12" s="34" t="n"/>
      <c r="L12" s="34" t="n"/>
    </row>
    <row r="13" ht="19.5" customHeight="1">
      <c r="A13" s="35" t="n"/>
      <c r="B13" s="29" t="n"/>
      <c r="C13" s="22" t="n"/>
      <c r="D13" s="30" t="n"/>
      <c r="E13" s="31" t="n"/>
      <c r="F13" s="32" t="n"/>
      <c r="G13" s="24" t="n"/>
      <c r="I13" s="34" t="n"/>
      <c r="J13" s="34" t="n"/>
      <c r="K13" s="34" t="n"/>
      <c r="L13" s="34" t="n"/>
    </row>
    <row r="14" ht="19.5" customHeight="1">
      <c r="A14" s="35" t="n"/>
      <c r="B14" s="29" t="n"/>
      <c r="C14" s="22" t="n"/>
      <c r="D14" s="30" t="n"/>
      <c r="E14" s="31" t="n"/>
      <c r="F14" s="32" t="n"/>
      <c r="G14" s="24" t="n"/>
      <c r="I14" s="34" t="n"/>
      <c r="J14" s="34" t="n"/>
      <c r="K14" s="34" t="n"/>
      <c r="L14" s="34" t="n"/>
    </row>
    <row r="15" ht="19.5" customHeight="1">
      <c r="A15" s="35" t="n"/>
      <c r="B15" s="29" t="n"/>
      <c r="C15" s="22" t="n"/>
      <c r="D15" s="30" t="n"/>
      <c r="E15" s="31" t="n"/>
      <c r="F15" s="32" t="n"/>
      <c r="G15" s="24" t="n"/>
      <c r="I15" s="34" t="n"/>
      <c r="J15" s="34" t="n"/>
      <c r="K15" s="34" t="n"/>
      <c r="L15" s="34" t="n"/>
    </row>
    <row r="16" ht="19.5" customHeight="1">
      <c r="A16" s="35" t="n"/>
      <c r="B16" s="29" t="n"/>
      <c r="C16" s="22" t="n"/>
      <c r="D16" s="30" t="n"/>
      <c r="E16" s="31" t="n"/>
      <c r="F16" s="32" t="n"/>
      <c r="G16" s="24" t="n"/>
      <c r="I16" s="34" t="n"/>
      <c r="J16" s="34" t="n"/>
      <c r="K16" s="34" t="n"/>
      <c r="L16" s="34" t="n"/>
    </row>
    <row r="17" ht="19.5" customHeight="1">
      <c r="A17" s="35" t="n"/>
      <c r="B17" s="29" t="n"/>
      <c r="C17" s="22" t="n"/>
      <c r="D17" s="30" t="n"/>
      <c r="E17" s="31" t="n"/>
      <c r="F17" s="32" t="n"/>
      <c r="G17" s="24" t="n"/>
      <c r="I17" s="34" t="n"/>
      <c r="J17" s="34" t="n"/>
      <c r="K17" s="34" t="n"/>
      <c r="L17" s="34" t="n"/>
    </row>
    <row r="18" ht="19.5" customHeight="1">
      <c r="A18" s="35" t="n"/>
      <c r="B18" s="29" t="n"/>
      <c r="C18" s="22" t="n"/>
      <c r="D18" s="30" t="n"/>
      <c r="E18" s="31" t="n"/>
      <c r="F18" s="32" t="n"/>
      <c r="G18" s="24" t="n"/>
      <c r="I18" s="34" t="n"/>
      <c r="J18" s="34" t="n"/>
      <c r="K18" s="34" t="n"/>
      <c r="L18" s="34" t="n"/>
    </row>
    <row r="19" ht="19.5" customHeight="1">
      <c r="A19" s="35" t="n"/>
      <c r="B19" s="29" t="n"/>
      <c r="C19" s="22" t="n"/>
      <c r="D19" s="30" t="n"/>
      <c r="E19" s="31" t="n"/>
      <c r="F19" s="32" t="n"/>
      <c r="G19" s="24" t="n"/>
      <c r="I19" s="34" t="n"/>
      <c r="J19" s="34" t="n"/>
      <c r="K19" s="34" t="n"/>
      <c r="L19" s="34" t="n"/>
    </row>
    <row r="20" ht="19.5" customHeight="1">
      <c r="A20" s="35" t="n"/>
      <c r="B20" s="29" t="n"/>
      <c r="C20" s="22" t="n"/>
      <c r="D20" s="30" t="n"/>
      <c r="E20" s="31" t="n"/>
      <c r="F20" s="32" t="n"/>
      <c r="G20" s="24" t="n"/>
      <c r="I20" s="34" t="n"/>
      <c r="J20" s="34" t="n"/>
      <c r="K20" s="34" t="n"/>
      <c r="L20" s="34" t="n"/>
    </row>
    <row r="21" ht="19.5" customHeight="1">
      <c r="A21" s="35" t="n"/>
      <c r="B21" s="29" t="n"/>
      <c r="C21" s="22" t="n"/>
      <c r="D21" s="30" t="n"/>
      <c r="E21" s="31" t="n"/>
      <c r="F21" s="32" t="n"/>
      <c r="G21" s="24" t="n"/>
      <c r="I21" s="34" t="n"/>
      <c r="J21" s="34" t="n"/>
      <c r="K21" s="34" t="n"/>
      <c r="L21" s="34" t="n"/>
    </row>
    <row r="22" ht="19.5" customHeight="1">
      <c r="A22" s="35" t="n"/>
      <c r="B22" s="29" t="n"/>
      <c r="C22" s="22" t="n"/>
      <c r="D22" s="30" t="n"/>
      <c r="E22" s="31" t="n"/>
      <c r="F22" s="32" t="n"/>
      <c r="G22" s="24" t="n"/>
      <c r="I22" s="34" t="n"/>
      <c r="J22" s="34" t="n"/>
      <c r="K22" s="34" t="n"/>
      <c r="L22" s="34" t="n"/>
    </row>
    <row r="23" ht="19.5" customHeight="1">
      <c r="A23" s="35" t="n"/>
      <c r="B23" s="29" t="n"/>
      <c r="C23" s="22" t="n"/>
      <c r="D23" s="30" t="n"/>
      <c r="E23" s="31" t="n"/>
      <c r="F23" s="32" t="n"/>
      <c r="G23" s="24" t="n"/>
      <c r="I23" s="34" t="n"/>
      <c r="J23" s="34" t="n"/>
      <c r="K23" s="34" t="n"/>
      <c r="L23" s="34" t="n"/>
    </row>
    <row r="24" ht="19.5" customHeight="1">
      <c r="A24" s="35" t="n"/>
      <c r="B24" s="29" t="n"/>
      <c r="C24" s="22" t="n"/>
      <c r="D24" s="30" t="n"/>
      <c r="E24" s="31" t="n"/>
      <c r="F24" s="32" t="n"/>
      <c r="G24" s="24" t="n"/>
      <c r="I24" s="34" t="n"/>
      <c r="J24" s="34" t="n"/>
      <c r="K24" s="34" t="n"/>
      <c r="L24" s="34" t="n"/>
    </row>
    <row r="25" ht="19.5" customHeight="1">
      <c r="A25" s="35" t="n"/>
      <c r="B25" s="29" t="n"/>
      <c r="C25" s="22" t="n"/>
      <c r="D25" s="30" t="n"/>
      <c r="E25" s="31" t="n"/>
      <c r="F25" s="32" t="n"/>
      <c r="G25" s="24" t="n"/>
      <c r="I25" s="34" t="n"/>
      <c r="J25" s="34" t="n"/>
      <c r="K25" s="34" t="n"/>
      <c r="L25" s="34" t="n"/>
    </row>
    <row r="26" ht="19.5" customHeight="1">
      <c r="A26" s="35" t="n"/>
      <c r="B26" s="29" t="n"/>
      <c r="C26" s="22" t="n"/>
      <c r="D26" s="30" t="n"/>
      <c r="E26" s="31" t="n"/>
      <c r="F26" s="32" t="n"/>
      <c r="G26" s="24" t="n"/>
      <c r="I26" s="34" t="n"/>
      <c r="J26" s="34" t="n"/>
      <c r="K26" s="34" t="n"/>
      <c r="L26" s="34" t="n"/>
    </row>
    <row r="27" ht="19.5" customHeight="1">
      <c r="A27" s="35" t="n"/>
      <c r="B27" s="29" t="n"/>
      <c r="C27" s="22" t="n"/>
      <c r="D27" s="30" t="n"/>
      <c r="E27" s="31" t="n"/>
      <c r="F27" s="32" t="n"/>
      <c r="G27" s="24" t="n"/>
      <c r="I27" s="34" t="n"/>
      <c r="J27" s="34" t="n"/>
      <c r="K27" s="34" t="n"/>
      <c r="L27" s="34" t="n"/>
    </row>
    <row r="28" ht="19.5" customHeight="1">
      <c r="A28" s="35" t="n"/>
      <c r="B28" s="29" t="n"/>
      <c r="C28" s="22" t="n"/>
      <c r="D28" s="30" t="n"/>
      <c r="E28" s="31" t="n"/>
      <c r="F28" s="32" t="n"/>
      <c r="G28" s="24" t="n"/>
      <c r="I28" s="34" t="n"/>
      <c r="J28" s="34" t="n"/>
      <c r="K28" s="34" t="n"/>
      <c r="L28" s="34" t="n"/>
    </row>
    <row r="29" ht="19.5" customHeight="1">
      <c r="A29" s="35" t="n"/>
      <c r="B29" s="29" t="n"/>
      <c r="C29" s="22" t="n"/>
      <c r="D29" s="30" t="n"/>
      <c r="E29" s="31" t="n"/>
      <c r="F29" s="32" t="n"/>
      <c r="G29" s="24" t="n"/>
      <c r="I29" s="34" t="n"/>
      <c r="J29" s="34" t="n"/>
      <c r="K29" s="34" t="n"/>
      <c r="L29" s="34" t="n"/>
    </row>
    <row r="30" ht="19.5" customHeight="1">
      <c r="A30" s="35" t="n"/>
      <c r="B30" s="29" t="n"/>
      <c r="C30" s="22" t="n"/>
      <c r="D30" s="30" t="n"/>
      <c r="E30" s="31" t="n"/>
      <c r="F30" s="32" t="n"/>
      <c r="G30" s="24" t="n"/>
      <c r="I30" s="34" t="n"/>
      <c r="J30" s="34" t="n"/>
      <c r="K30" s="34" t="n"/>
      <c r="L30" s="34" t="n"/>
    </row>
    <row r="31" ht="33.6" customHeight="1">
      <c r="A31" s="36" t="inlineStr">
        <is>
          <t>따즈아</t>
        </is>
      </c>
      <c r="B31" s="37" t="inlineStr">
        <is>
          <t>온라인강의</t>
        </is>
      </c>
      <c r="C31" s="38" t="n">
        <v>0</v>
      </c>
      <c r="D31" s="39">
        <f>SUM(D8:D30)</f>
        <v/>
      </c>
      <c r="E31" s="40" t="inlineStr">
        <is>
          <t>원수강료</t>
        </is>
      </c>
      <c r="F31" s="41">
        <f>SUM(F8:F30)</f>
        <v/>
      </c>
      <c r="G31" s="42" t="n"/>
      <c r="I31" s="34" t="n"/>
      <c r="J31" s="34" t="n"/>
      <c r="K31" s="34" t="n"/>
      <c r="L31" s="34" t="n"/>
    </row>
    <row r="32" ht="19.5" customHeight="1">
      <c r="A32" s="43" t="inlineStr">
        <is>
          <t>■ 교육과정 할인내역</t>
        </is>
      </c>
      <c r="B32" s="44" t="n"/>
      <c r="C32" s="45" t="n"/>
      <c r="D32" s="46" t="n"/>
      <c r="E32" s="46" t="n"/>
      <c r="F32" s="47" t="n"/>
      <c r="G32" s="5" t="n"/>
      <c r="I32" s="34" t="n"/>
      <c r="J32" s="34" t="n"/>
      <c r="K32" s="34" t="n"/>
      <c r="L32" s="34" t="n"/>
    </row>
    <row r="33" ht="19.5" customHeight="1">
      <c r="A33" s="20" t="inlineStr">
        <is>
          <t>세부할인 내역</t>
        </is>
      </c>
      <c r="B33" s="48" t="n"/>
      <c r="C33" s="22" t="n"/>
      <c r="D33" s="21" t="inlineStr">
        <is>
          <t>할인율(%)</t>
        </is>
      </c>
      <c r="E33" s="49" t="inlineStr">
        <is>
          <t>할인금액</t>
        </is>
      </c>
      <c r="F33" s="48" t="n"/>
      <c r="G33" s="24" t="n"/>
    </row>
    <row r="34" ht="19.5" customHeight="1">
      <c r="A34" s="50" t="inlineStr">
        <is>
          <t>할인
내역</t>
        </is>
      </c>
      <c r="B34" s="51" t="inlineStr">
        <is>
          <t>겨울방학 할인</t>
        </is>
      </c>
      <c r="C34" s="48" t="n"/>
      <c r="D34" s="52" t="n">
        <v>0.15</v>
      </c>
      <c r="E34" s="53">
        <f>F31*D34</f>
        <v/>
      </c>
      <c r="F34" s="48" t="n"/>
      <c r="G34" s="24" t="n"/>
    </row>
    <row r="35" ht="19.5" customHeight="1">
      <c r="A35" s="33" t="n"/>
      <c r="B35" s="51" t="inlineStr">
        <is>
          <t>멘토직권 할인</t>
        </is>
      </c>
      <c r="C35" s="48" t="n"/>
      <c r="D35" s="54" t="n">
        <v>0.1</v>
      </c>
      <c r="E35" s="55">
        <f>(F31*(1-D34)*D35)</f>
        <v/>
      </c>
      <c r="F35" s="48" t="n"/>
      <c r="G35" s="24" t="n"/>
    </row>
    <row r="36" ht="19.5" customHeight="1">
      <c r="A36" s="56" t="n"/>
      <c r="B36" s="51" t="inlineStr">
        <is>
          <t>잔여석 지원 할인</t>
        </is>
      </c>
      <c r="C36" s="48" t="n"/>
      <c r="D36" s="57" t="n">
        <v>0.15</v>
      </c>
      <c r="E36" s="53">
        <f>(F31*(1-D34)*(1-D35)*D36)</f>
        <v/>
      </c>
      <c r="F36" s="48" t="n"/>
      <c r="G36" s="24" t="n"/>
      <c r="H36" s="34" t="n"/>
      <c r="I36" s="25" t="n"/>
      <c r="J36" s="26" t="n"/>
      <c r="K36" s="27" t="n"/>
      <c r="L36" s="27" t="n"/>
    </row>
    <row r="37" ht="19.5" customHeight="1">
      <c r="A37" s="58" t="inlineStr">
        <is>
          <t xml:space="preserve">총 할인금액 (수강지원)  </t>
        </is>
      </c>
      <c r="B37" s="48" t="n"/>
      <c r="C37" s="22" t="n"/>
      <c r="D37" s="59">
        <f>ROUNDUP(SUM(E34:G36),-3)</f>
        <v/>
      </c>
      <c r="E37" s="48" t="n"/>
      <c r="F37" s="48" t="n"/>
      <c r="G37" s="24" t="n"/>
      <c r="H37" s="34" t="n"/>
      <c r="I37" s="25" t="n"/>
      <c r="J37" s="26" t="n"/>
      <c r="K37" s="27" t="n"/>
      <c r="L37" s="27" t="n"/>
    </row>
    <row r="38" ht="23.25" customHeight="1">
      <c r="A38" s="60" t="inlineStr">
        <is>
          <t xml:space="preserve">납부 해야할 수강료 (할인적용)  </t>
        </is>
      </c>
      <c r="B38" s="48" t="n"/>
      <c r="C38" s="22" t="n"/>
      <c r="D38" s="61">
        <f>F31-D37</f>
        <v/>
      </c>
      <c r="E38" s="48" t="n"/>
      <c r="F38" s="48" t="n"/>
      <c r="G38" s="24" t="n"/>
      <c r="H38" s="34" t="n"/>
      <c r="I38" s="34" t="n"/>
      <c r="J38" s="34" t="n"/>
      <c r="K38" s="34" t="n"/>
      <c r="L38" s="34" t="n"/>
    </row>
    <row r="39" ht="23.25" customHeight="1">
      <c r="A39" s="60" t="inlineStr">
        <is>
          <t>총 등록금액</t>
        </is>
      </c>
      <c r="B39" s="48" t="n"/>
      <c r="C39" s="22" t="n"/>
      <c r="D39" s="61">
        <f>SUM(D38+C31)</f>
        <v/>
      </c>
      <c r="E39" s="48" t="n"/>
      <c r="F39" s="48" t="n"/>
      <c r="G39" s="24" t="n"/>
      <c r="H39" s="34" t="n"/>
    </row>
    <row r="40" ht="23.25" customHeight="1">
      <c r="A40" s="60" t="inlineStr">
        <is>
          <t>3개월 할부 진행시</t>
        </is>
      </c>
      <c r="B40" s="48" t="n"/>
      <c r="C40" s="22" t="n"/>
      <c r="D40" s="62">
        <f>SUM(D39/3)</f>
        <v/>
      </c>
      <c r="E40" s="48" t="n"/>
      <c r="F40" s="48" t="n"/>
      <c r="G40" s="24" t="n"/>
      <c r="H40" s="34" t="n"/>
    </row>
    <row r="41" ht="23.25" customHeight="1">
      <c r="A41" s="60" t="inlineStr">
        <is>
          <t>6개월 할부 진행시</t>
        </is>
      </c>
      <c r="B41" s="48" t="n"/>
      <c r="C41" s="22" t="n"/>
      <c r="D41" s="62">
        <f>SUM(D39/6)</f>
        <v/>
      </c>
      <c r="E41" s="48" t="n"/>
      <c r="F41" s="48" t="n"/>
      <c r="G41" s="24" t="n"/>
      <c r="H41" s="34" t="n"/>
    </row>
    <row r="42" ht="23.25" customHeight="1">
      <c r="A42" s="60" t="inlineStr">
        <is>
          <t>1과목당 수강료</t>
        </is>
      </c>
      <c r="B42" s="48" t="n"/>
      <c r="C42" s="22" t="n"/>
      <c r="D42" s="62">
        <f>SUM(D38/D31)</f>
        <v/>
      </c>
      <c r="E42" s="48" t="n"/>
      <c r="F42" s="48" t="n"/>
      <c r="G42" s="24" t="n"/>
      <c r="H42" s="34" t="n"/>
    </row>
    <row r="43" ht="16.5" customHeight="1">
      <c r="A43" s="63" t="n"/>
      <c r="B43" s="64" t="n"/>
      <c r="G43" s="65" t="n"/>
      <c r="I43" s="66" t="n"/>
      <c r="J43" s="34" t="n"/>
      <c r="K43" s="34" t="n"/>
      <c r="L43" s="34" t="n"/>
    </row>
    <row r="44" ht="16.5" customHeight="1">
      <c r="A44" s="67" t="inlineStr">
        <is>
          <t>■ 안내사항</t>
        </is>
      </c>
      <c r="B44" s="64" t="n"/>
      <c r="C44" s="64" t="n"/>
      <c r="D44" s="64" t="n"/>
      <c r="E44" s="64" t="n"/>
      <c r="F44" s="64" t="n"/>
      <c r="G44" s="65" t="n"/>
      <c r="I44" s="66" t="n"/>
      <c r="J44" s="34" t="n"/>
      <c r="K44" s="34" t="n"/>
      <c r="L44" s="34" t="n"/>
    </row>
    <row r="45" ht="16.5" customHeight="1">
      <c r="A45" s="63" t="inlineStr">
        <is>
          <t xml:space="preserve">   1) 위 수강료는 학원내 게시되어 있는 수강료 기준이며, 교육청에 신고된 금액입니다.</t>
        </is>
      </c>
      <c r="B45" s="64" t="n"/>
      <c r="C45" s="64" t="n"/>
      <c r="D45" s="64" t="n"/>
      <c r="E45" s="64" t="n"/>
      <c r="F45" s="64" t="n"/>
      <c r="G45" s="65" t="n"/>
      <c r="I45" s="34" t="n"/>
      <c r="J45" s="34" t="n"/>
      <c r="K45" s="34" t="n"/>
      <c r="L45" s="34" t="n"/>
    </row>
    <row r="46" ht="16.5" customHeight="1">
      <c r="A46" s="63" t="inlineStr">
        <is>
          <t xml:space="preserve">   2) 위 할인내역은 해당사항에 한해 적용되며, 할인내용에 해당될 시 증명서류를 증빙해야 할인 받을 수 있습니다.</t>
        </is>
      </c>
      <c r="B46" s="64" t="n"/>
      <c r="C46" s="64" t="n"/>
      <c r="D46" s="64" t="n"/>
      <c r="E46" s="64" t="n"/>
      <c r="F46" s="64" t="n"/>
      <c r="G46" s="65" t="n"/>
      <c r="I46" s="34" t="n"/>
      <c r="J46" s="34" t="n"/>
      <c r="K46" s="34" t="n"/>
      <c r="L46" s="34" t="n"/>
    </row>
    <row r="47" ht="16.5" customHeight="1">
      <c r="A47" s="63" t="inlineStr">
        <is>
          <t xml:space="preserve">   3) 할인금액은 수강과목지원(무료)으로 진행됩니다.</t>
        </is>
      </c>
      <c r="B47" s="46" t="n"/>
      <c r="C47" s="46" t="n"/>
      <c r="D47" s="68" t="n"/>
      <c r="E47" s="68" t="n"/>
      <c r="F47" s="69" t="n"/>
      <c r="G47" s="70" t="n"/>
    </row>
    <row r="48" ht="16.5" customHeight="1">
      <c r="A48" s="63" t="n"/>
      <c r="B48" s="46" t="n"/>
      <c r="C48" s="46" t="n"/>
      <c r="D48" s="68" t="n"/>
      <c r="E48" s="68" t="n"/>
      <c r="F48" s="69" t="n"/>
      <c r="G48" s="70" t="n"/>
    </row>
    <row r="49" ht="16.5" customHeight="1">
      <c r="A49" s="67" t="inlineStr">
        <is>
          <t>■ 수강료 납부 안내</t>
        </is>
      </c>
      <c r="B49" s="71" t="n"/>
      <c r="C49" s="71" t="n"/>
      <c r="D49" s="72" t="n"/>
      <c r="E49" s="72" t="n"/>
      <c r="F49" s="72" t="n"/>
      <c r="G49" s="73" t="n"/>
    </row>
    <row r="50" ht="16.5" customHeight="1">
      <c r="A50" s="63" t="inlineStr">
        <is>
          <t xml:space="preserve">    1) 현금수납 - 학원 안내접수처에서 접수 및 결제(현금영수증 발행)</t>
        </is>
      </c>
      <c r="B50" s="74" t="n"/>
      <c r="C50" s="74" t="n"/>
      <c r="D50" s="72" t="n"/>
      <c r="E50" s="72" t="n"/>
      <c r="F50" s="72" t="n"/>
      <c r="G50" s="73" t="n"/>
    </row>
    <row r="51" ht="16.5" customHeight="1">
      <c r="A51" s="63" t="inlineStr">
        <is>
          <t xml:space="preserve">    2) 온라인입금(계좌이체) 결제(현금영수증 발행)</t>
        </is>
      </c>
      <c r="B51" s="74" t="n"/>
      <c r="C51" s="74" t="n"/>
      <c r="D51" s="72" t="n"/>
      <c r="E51" s="72" t="n"/>
      <c r="F51" s="72" t="n"/>
      <c r="G51" s="73" t="n"/>
    </row>
    <row r="52" ht="16.5" customHeight="1">
      <c r="A52" s="67" t="n"/>
      <c r="B52" s="75" t="n"/>
      <c r="C52" s="75" t="n"/>
      <c r="D52" s="72" t="n"/>
      <c r="E52" s="72" t="n"/>
      <c r="F52" s="72" t="n"/>
      <c r="G52" s="73" t="n"/>
    </row>
    <row r="53" ht="16.5" customHeight="1">
      <c r="A53" s="63" t="inlineStr">
        <is>
          <t xml:space="preserve">    3) 카드수납 - 학원 안내접수처에서 접수 및 결제 or 카드번호 결제(키인결제)</t>
        </is>
      </c>
      <c r="B53" s="76" t="n"/>
      <c r="C53" s="76" t="n"/>
      <c r="D53" s="72" t="n"/>
      <c r="E53" s="72" t="n"/>
      <c r="F53" s="72" t="n"/>
      <c r="G53" s="73" t="n"/>
    </row>
    <row r="54" ht="16.5" customHeight="1">
      <c r="A54" s="63" t="inlineStr">
        <is>
          <t xml:space="preserve">                     - 학원 홈페이지(모바일, PC) 결제 &gt; 담당멘토 문의</t>
        </is>
      </c>
      <c r="B54" s="76" t="n"/>
      <c r="C54" s="76" t="n"/>
      <c r="D54" s="72" t="n"/>
      <c r="E54" s="72" t="n"/>
      <c r="F54" s="72" t="n"/>
      <c r="G54" s="73" t="n"/>
    </row>
    <row r="55" ht="19.5" customHeight="1">
      <c r="A55" s="63" t="inlineStr">
        <is>
          <t xml:space="preserve">      * 카드사별 무이자 할부 혜택 상이함</t>
        </is>
      </c>
      <c r="B55" s="77" t="n"/>
      <c r="C55" s="77" t="n"/>
      <c r="D55" s="72" t="n"/>
      <c r="E55" s="72" t="n"/>
      <c r="F55" s="72" t="n"/>
      <c r="G55" s="73" t="n"/>
    </row>
  </sheetData>
  <mergeCells count="75">
    <mergeCell ref="F4:G4"/>
    <mergeCell ref="F11:G11"/>
    <mergeCell ref="B16:C16"/>
    <mergeCell ref="A41:C41"/>
    <mergeCell ref="B7:C7"/>
    <mergeCell ref="B25:C25"/>
    <mergeCell ref="F10:G10"/>
    <mergeCell ref="F16:G16"/>
    <mergeCell ref="F29:G29"/>
    <mergeCell ref="A37:C37"/>
    <mergeCell ref="F19:G19"/>
    <mergeCell ref="F25:G25"/>
    <mergeCell ref="D39:G39"/>
    <mergeCell ref="B22:C22"/>
    <mergeCell ref="E34:G34"/>
    <mergeCell ref="B18:C18"/>
    <mergeCell ref="B27:C27"/>
    <mergeCell ref="D42:G42"/>
    <mergeCell ref="D38:G38"/>
    <mergeCell ref="F7:G7"/>
    <mergeCell ref="B12:C12"/>
    <mergeCell ref="F21:G21"/>
    <mergeCell ref="A42:C42"/>
    <mergeCell ref="B21:C21"/>
    <mergeCell ref="F12:G12"/>
    <mergeCell ref="F24:G24"/>
    <mergeCell ref="F30:G30"/>
    <mergeCell ref="A33:C33"/>
    <mergeCell ref="B11:C11"/>
    <mergeCell ref="F15:G15"/>
    <mergeCell ref="A34:A36"/>
    <mergeCell ref="E36:G36"/>
    <mergeCell ref="F20:G20"/>
    <mergeCell ref="F18:G18"/>
    <mergeCell ref="B23:C23"/>
    <mergeCell ref="B14:C14"/>
    <mergeCell ref="F32:G32"/>
    <mergeCell ref="B17:C17"/>
    <mergeCell ref="F26:G26"/>
    <mergeCell ref="B8:C8"/>
    <mergeCell ref="F17:G17"/>
    <mergeCell ref="A38:C38"/>
    <mergeCell ref="F8:G8"/>
    <mergeCell ref="B13:C13"/>
    <mergeCell ref="D40:G40"/>
    <mergeCell ref="B43:F43"/>
    <mergeCell ref="A1:G3"/>
    <mergeCell ref="A8:A9"/>
    <mergeCell ref="B29:C29"/>
    <mergeCell ref="B19:C19"/>
    <mergeCell ref="B34:C34"/>
    <mergeCell ref="B10:C10"/>
    <mergeCell ref="F23:G23"/>
    <mergeCell ref="B28:C28"/>
    <mergeCell ref="F31:G31"/>
    <mergeCell ref="A40:C40"/>
    <mergeCell ref="F22:G22"/>
    <mergeCell ref="F28:G28"/>
    <mergeCell ref="A39:C39"/>
    <mergeCell ref="F13:G13"/>
    <mergeCell ref="B9:C9"/>
    <mergeCell ref="F27:G27"/>
    <mergeCell ref="F9:G9"/>
    <mergeCell ref="D41:G41"/>
    <mergeCell ref="B24:C24"/>
    <mergeCell ref="B30:C30"/>
    <mergeCell ref="B15:C15"/>
    <mergeCell ref="E33:G33"/>
    <mergeCell ref="B20:C20"/>
    <mergeCell ref="B36:C36"/>
    <mergeCell ref="E35:G35"/>
    <mergeCell ref="F14:G14"/>
    <mergeCell ref="B26:C26"/>
    <mergeCell ref="D37:G37"/>
    <mergeCell ref="B35:C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2026-05-13T09:23:20Z</dcterms:created>
  <dcterms:modified xmlns:dcterms="http://purl.org/dc/terms/" xmlns:xsi="http://www.w3.org/2001/XMLSchema-instance" xsi:type="dcterms:W3CDTF">2026-05-13T09:23:20Z</dcterms:modified>
</cp:coreProperties>
</file>