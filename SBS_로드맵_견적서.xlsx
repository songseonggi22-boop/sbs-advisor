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에이전트" sheetId="1" state="visible" r:id="rId1"/>
    <sheet xmlns:r="http://schemas.openxmlformats.org/officeDocument/2006/relationships" name="인공지능융합 SW" sheetId="2" state="visible" r:id="rId2"/>
    <sheet xmlns:r="http://schemas.openxmlformats.org/officeDocument/2006/relationships" name="UIUX·웹" sheetId="3" state="visible" r:id="rId3"/>
    <sheet xmlns:r="http://schemas.openxmlformats.org/officeDocument/2006/relationships" name="시각편집디자인" sheetId="4" state="visible" r:id="rId4"/>
    <sheet xmlns:r="http://schemas.openxmlformats.org/officeDocument/2006/relationships" name="인테리어디자인" sheetId="5" state="visible" r:id="rId5"/>
    <sheet xmlns:r="http://schemas.openxmlformats.org/officeDocument/2006/relationships" name="모션그래픽" sheetId="6" state="visible" r:id="rId6"/>
    <sheet xmlns:r="http://schemas.openxmlformats.org/officeDocument/2006/relationships" name="CG·VFX (마야)" sheetId="7" state="visible" r:id="rId7"/>
    <sheet xmlns:r="http://schemas.openxmlformats.org/officeDocument/2006/relationships" name="웹툰" sheetId="8" state="visible" r:id="rId8"/>
    <sheet xmlns:r="http://schemas.openxmlformats.org/officeDocument/2006/relationships" name="디지털드로잉 (아트웍)" sheetId="9" state="visible" r:id="rId9"/>
  </sheets>
  <definedNames/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0&quot;개월&quot;"/>
    <numFmt numFmtId="166" formatCode="&quot;총&quot;\ 0\ &quot;개월&quot;"/>
    <numFmt numFmtId="167" formatCode="_-* #,##0_-;\-* #,##0_-;_-* &quot;-&quot;??_-;_-@_-"/>
  </numFmts>
  <fonts count="19">
    <font>
      <name val="Calibri"/>
      <family val="2"/>
      <color theme="1"/>
      <sz val="11"/>
      <scheme val="minor"/>
    </font>
    <font>
      <name val="굴림"/>
      <charset val="129"/>
      <family val="3"/>
      <b val="1"/>
      <sz val="18"/>
    </font>
    <font>
      <name val="굴림"/>
      <charset val="129"/>
      <family val="3"/>
      <sz val="11"/>
    </font>
    <font>
      <name val="굴림"/>
      <charset val="129"/>
      <family val="3"/>
      <b val="1"/>
      <sz val="10"/>
    </font>
    <font>
      <name val="굴림"/>
      <charset val="129"/>
      <family val="3"/>
      <sz val="10"/>
    </font>
    <font>
      <name val="굴림"/>
      <charset val="129"/>
      <family val="3"/>
      <b val="1"/>
      <sz val="11"/>
    </font>
    <font>
      <name val="굴림"/>
      <charset val="129"/>
      <family val="3"/>
      <sz val="8"/>
    </font>
    <font>
      <name val="굴림"/>
      <charset val="129"/>
      <family val="3"/>
      <b val="1"/>
      <sz val="9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0"/>
      <scheme val="minor"/>
    </font>
    <font>
      <name val="굴림"/>
      <charset val="129"/>
      <family val="3"/>
      <sz val="9"/>
    </font>
    <font>
      <name val="굴림"/>
      <charset val="129"/>
      <family val="3"/>
      <b val="1"/>
      <color rgb="FFC00000"/>
      <sz val="9"/>
    </font>
    <font>
      <name val="HyhwpEQ"/>
      <charset val="129"/>
      <family val="1"/>
      <sz val="8"/>
    </font>
    <font>
      <name val="HyhwpEQ"/>
      <charset val="129"/>
      <family val="1"/>
      <color indexed="8"/>
      <sz val="8"/>
    </font>
    <font>
      <name val="휴먼모음T"/>
      <charset val="129"/>
      <family val="1"/>
      <sz val="8"/>
    </font>
    <font>
      <name val="HyhwpEQ"/>
      <charset val="129"/>
      <family val="1"/>
      <sz val="9"/>
    </font>
    <font>
      <name val="휴먼모음T"/>
      <charset val="129"/>
      <family val="1"/>
      <sz val="10"/>
    </font>
    <font>
      <name val="함초롬돋움 확장"/>
      <charset val="129"/>
      <family val="1"/>
      <b val="1"/>
      <sz val="10"/>
      <u val="single"/>
    </font>
    <font>
      <name val="함초롬돋움 확장"/>
      <charset val="129"/>
      <family val="1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3" borderId="2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 vertical="center"/>
    </xf>
    <xf numFmtId="14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4" fillId="3" borderId="3" applyAlignment="1" pivotButton="0" quotePrefix="0" xfId="0">
      <alignment horizontal="center" vertical="center"/>
    </xf>
    <xf numFmtId="0" fontId="5" fillId="3" borderId="0" applyAlignment="1" pivotButton="0" quotePrefix="0" xfId="0">
      <alignment horizontal="right" vertical="center"/>
    </xf>
    <xf numFmtId="14" fontId="5" fillId="3" borderId="0" applyAlignment="1" pivotButton="0" quotePrefix="0" xfId="0">
      <alignment horizontal="center" vertical="center"/>
    </xf>
    <xf numFmtId="14" fontId="5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vertical="center"/>
    </xf>
    <xf numFmtId="0" fontId="3" fillId="3" borderId="3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14" fontId="6" fillId="3" borderId="3" applyAlignment="1" pivotButton="0" quotePrefix="0" xfId="0">
      <alignment vertical="center"/>
    </xf>
    <xf numFmtId="0" fontId="7" fillId="4" borderId="4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0" fontId="0" fillId="0" borderId="18" pivotButton="0" quotePrefix="0" xfId="0"/>
    <xf numFmtId="0" fontId="7" fillId="4" borderId="6" applyAlignment="1" pivotButton="0" quotePrefix="0" xfId="0">
      <alignment horizontal="center" vertical="center"/>
    </xf>
    <xf numFmtId="0" fontId="0" fillId="0" borderId="16" pivotButton="0" quotePrefix="0" xfId="0"/>
    <xf numFmtId="164" fontId="8" fillId="5" borderId="0" applyAlignment="1" pivotButton="0" quotePrefix="0" xfId="0">
      <alignment horizontal="left" vertical="center"/>
    </xf>
    <xf numFmtId="164" fontId="9" fillId="5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7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vertical="center"/>
    </xf>
    <xf numFmtId="165" fontId="10" fillId="0" borderId="5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164" fontId="10" fillId="0" borderId="6" applyAlignment="1" pivotButton="0" quotePrefix="0" xfId="0">
      <alignment horizontal="center" vertical="center"/>
    </xf>
    <xf numFmtId="0" fontId="7" fillId="3" borderId="9" applyAlignment="1" pivotButton="0" quotePrefix="0" xfId="0">
      <alignment vertical="center" wrapText="1"/>
    </xf>
    <xf numFmtId="0" fontId="10" fillId="0" borderId="10" applyAlignment="1" pivotButton="0" quotePrefix="0" xfId="0">
      <alignment vertical="center"/>
    </xf>
    <xf numFmtId="3" fontId="10" fillId="0" borderId="11" applyAlignment="1" pivotButton="0" quotePrefix="0" xfId="0">
      <alignment vertical="center"/>
    </xf>
    <xf numFmtId="166" fontId="7" fillId="6" borderId="12" applyAlignment="1" pivotButton="0" quotePrefix="0" xfId="0">
      <alignment horizontal="center" vertical="center" wrapText="1"/>
    </xf>
    <xf numFmtId="0" fontId="7" fillId="6" borderId="13" applyAlignment="1" pivotButton="0" quotePrefix="0" xfId="0">
      <alignment horizontal="center" vertical="center" wrapText="1"/>
    </xf>
    <xf numFmtId="164" fontId="7" fillId="6" borderId="1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6" fillId="3" borderId="15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6" fillId="3" borderId="3" applyAlignment="1" pivotButton="0" quotePrefix="0" xfId="0">
      <alignment horizontal="center" vertical="center"/>
    </xf>
    <xf numFmtId="0" fontId="0" fillId="0" borderId="25" pivotButton="0" quotePrefix="0" xfId="0"/>
    <xf numFmtId="164" fontId="7" fillId="4" borderId="6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9" fontId="7" fillId="0" borderId="5" applyAlignment="1" pivotButton="0" quotePrefix="0" xfId="0">
      <alignment horizontal="center" vertical="center"/>
    </xf>
    <xf numFmtId="164" fontId="7" fillId="3" borderId="16" applyAlignment="1" pivotButton="0" quotePrefix="0" xfId="0">
      <alignment horizontal="center" vertical="center"/>
    </xf>
    <xf numFmtId="0" fontId="0" fillId="0" borderId="7" pivotButton="0" quotePrefix="0" xfId="0"/>
    <xf numFmtId="9" fontId="7" fillId="0" borderId="17" applyAlignment="1" pivotButton="0" quotePrefix="0" xfId="0">
      <alignment horizontal="center" vertical="center"/>
    </xf>
    <xf numFmtId="164" fontId="7" fillId="3" borderId="6" applyAlignment="1" pivotButton="0" quotePrefix="0" xfId="0">
      <alignment horizontal="center" vertical="center"/>
    </xf>
    <xf numFmtId="0" fontId="0" fillId="0" borderId="26" pivotButton="0" quotePrefix="0" xfId="0"/>
    <xf numFmtId="9" fontId="7" fillId="0" borderId="18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164" fontId="11" fillId="6" borderId="6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167" fontId="7" fillId="6" borderId="6" applyAlignment="1" pivotButton="0" quotePrefix="0" xfId="0">
      <alignment horizontal="center" vertical="center"/>
    </xf>
    <xf numFmtId="0" fontId="10" fillId="3" borderId="2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3" borderId="3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vertical="center"/>
    </xf>
    <xf numFmtId="0" fontId="18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8.88671875" customWidth="1" min="1" max="1"/>
    <col width="29.21875" customWidth="1" min="2" max="2"/>
    <col width="14.5546875" customWidth="1" min="3" max="3"/>
    <col width="11.6640625" customWidth="1" min="4" max="4"/>
    <col width="10.77734375" customWidth="1" min="5" max="5"/>
    <col width="8.109375" customWidth="1" min="6" max="6"/>
    <col width="10.5546875" customWidth="1" min="7" max="7"/>
    <col width="5.6640625" customWidth="1" min="8" max="8"/>
    <col width="21.6640625" customWidth="1" min="9" max="9"/>
    <col width="19.44140625" customWidth="1" min="10" max="10"/>
    <col width="20" customWidth="1" min="11" max="11"/>
    <col width="19.44140625" customWidth="1" min="12" max="12"/>
    <col width="8.88671875" customWidth="1" min="13" max="13"/>
  </cols>
  <sheetData>
    <row r="1" ht="13.5" customHeight="1">
      <c r="A1" s="1" t="inlineStr">
        <is>
          <t>AI 에이전트 교육과정 수강료 안내</t>
        </is>
      </c>
      <c r="B1" s="2" t="n"/>
      <c r="C1" s="2" t="n"/>
      <c r="D1" s="2" t="n"/>
      <c r="E1" s="2" t="n"/>
      <c r="F1" s="2" t="n"/>
      <c r="G1" s="3" t="n"/>
    </row>
    <row r="2" ht="13.5" customHeight="1">
      <c r="A2" s="4" t="n"/>
      <c r="G2" s="5" t="n"/>
    </row>
    <row r="3" ht="13.5" customHeight="1">
      <c r="A3" s="4" t="n"/>
      <c r="G3" s="5" t="n"/>
    </row>
    <row r="4" ht="27" customHeight="1">
      <c r="A4" s="6" t="n"/>
      <c r="B4" s="7" t="n"/>
      <c r="C4" s="8" t="n"/>
      <c r="D4" s="9" t="n"/>
      <c r="E4" s="10" t="n"/>
      <c r="F4" s="11" t="n"/>
      <c r="G4" s="5" t="n"/>
    </row>
    <row r="5" ht="27" customHeight="1">
      <c r="A5" s="6" t="n"/>
      <c r="B5" s="7" t="n"/>
      <c r="C5" s="12" t="inlineStr">
        <is>
          <t xml:space="preserve">상 담 일 자 : </t>
        </is>
      </c>
      <c r="D5" s="13">
        <f>TODAY()</f>
        <v/>
      </c>
      <c r="E5" s="14" t="inlineStr">
        <is>
          <t xml:space="preserve">상 담 자 : </t>
        </is>
      </c>
      <c r="F5" s="15" t="inlineStr">
        <is>
          <t>안재현 교육멘토</t>
        </is>
      </c>
      <c r="G5" s="16" t="n"/>
    </row>
    <row r="6" ht="19.5" customHeight="1">
      <c r="A6" s="17" t="inlineStr">
        <is>
          <t xml:space="preserve">■  과정 및 수강료                              </t>
        </is>
      </c>
      <c r="B6" s="15" t="n"/>
      <c r="C6" s="8" t="n"/>
      <c r="D6" s="18" t="n"/>
      <c r="E6" s="12" t="inlineStr">
        <is>
          <t xml:space="preserve">연 락 처 : </t>
        </is>
      </c>
      <c r="F6" s="15" t="inlineStr">
        <is>
          <t>042-710-8921</t>
        </is>
      </c>
      <c r="G6" s="19" t="n"/>
    </row>
    <row r="7" ht="19.5" customHeight="1">
      <c r="A7" s="20" t="inlineStr">
        <is>
          <t>과 정</t>
        </is>
      </c>
      <c r="B7" s="21" t="inlineStr">
        <is>
          <t>과목명</t>
        </is>
      </c>
      <c r="C7" s="22" t="n"/>
      <c r="D7" s="21" t="inlineStr">
        <is>
          <t>COURSE</t>
        </is>
      </c>
      <c r="E7" s="21" t="inlineStr">
        <is>
          <t>DAY</t>
        </is>
      </c>
      <c r="F7" s="23" t="inlineStr">
        <is>
          <t>수강료</t>
        </is>
      </c>
      <c r="G7" s="24" t="n"/>
      <c r="I7" s="25" t="n"/>
      <c r="J7" s="26" t="n"/>
      <c r="K7" s="27" t="n"/>
      <c r="L7" s="27" t="n"/>
    </row>
    <row r="8" ht="19.5" customHeight="1">
      <c r="A8" s="28" t="n"/>
      <c r="B8" s="29" t="inlineStr">
        <is>
          <t>AI 프롬프트엔지니어링 1</t>
        </is>
      </c>
      <c r="C8" s="22" t="n"/>
      <c r="D8" s="30" t="n">
        <v>1</v>
      </c>
      <c r="E8" s="31" t="inlineStr">
        <is>
          <t>평일 / 주말</t>
        </is>
      </c>
      <c r="F8" s="32" t="n">
        <v>600000</v>
      </c>
      <c r="G8" s="24" t="n"/>
      <c r="I8" s="25" t="n"/>
      <c r="J8" s="26" t="n"/>
      <c r="K8" s="27" t="n"/>
      <c r="L8" s="27" t="n"/>
    </row>
    <row r="9" ht="19.5" customHeight="1">
      <c r="A9" s="28" t="n"/>
      <c r="B9" s="29" t="inlineStr">
        <is>
          <t>AI 프롬프트엔지니어링 2</t>
        </is>
      </c>
      <c r="C9" s="22" t="n"/>
      <c r="D9" s="30" t="n">
        <v>1</v>
      </c>
      <c r="E9" s="31" t="inlineStr">
        <is>
          <t>평일 / 주말</t>
        </is>
      </c>
      <c r="F9" s="32" t="n">
        <v>600000</v>
      </c>
      <c r="G9" s="24" t="n"/>
      <c r="I9" s="25" t="n"/>
      <c r="J9" s="26" t="n"/>
      <c r="K9" s="27" t="n"/>
      <c r="L9" s="27" t="n"/>
    </row>
    <row r="10" ht="19.5" customHeight="1">
      <c r="A10" s="28" t="n"/>
      <c r="B10" s="29" t="inlineStr">
        <is>
          <t>AI 에이전트 기초</t>
        </is>
      </c>
      <c r="C10" s="22" t="n"/>
      <c r="D10" s="30" t="n">
        <v>1</v>
      </c>
      <c r="E10" s="31" t="inlineStr">
        <is>
          <t>평일 / 주말</t>
        </is>
      </c>
      <c r="F10" s="32" t="n">
        <v>600000</v>
      </c>
      <c r="G10" s="24" t="n"/>
      <c r="I10" s="25" t="n"/>
      <c r="J10" s="26" t="n"/>
      <c r="K10" s="27" t="n"/>
      <c r="L10" s="27" t="n"/>
    </row>
    <row r="11" ht="19.5" customHeight="1">
      <c r="A11" s="28" t="n"/>
      <c r="B11" s="29" t="inlineStr">
        <is>
          <t>AI 에이전트 심화</t>
        </is>
      </c>
      <c r="C11" s="22" t="n"/>
      <c r="D11" s="30" t="n">
        <v>1</v>
      </c>
      <c r="E11" s="31" t="inlineStr">
        <is>
          <t>평일 / 주말</t>
        </is>
      </c>
      <c r="F11" s="32" t="n">
        <v>600000</v>
      </c>
      <c r="G11" s="24" t="n"/>
      <c r="I11" s="25" t="n"/>
      <c r="J11" s="26" t="n"/>
      <c r="K11" s="27" t="n"/>
      <c r="L11" s="27" t="n"/>
    </row>
    <row r="12" ht="33.6" customHeight="1">
      <c r="A12" s="33" t="inlineStr">
        <is>
          <t>따즈아</t>
        </is>
      </c>
      <c r="B12" s="34" t="inlineStr">
        <is>
          <t>온라인강의</t>
        </is>
      </c>
      <c r="C12" s="35" t="n">
        <v>0</v>
      </c>
      <c r="D12" s="36">
        <f>SUM(D8:D11)</f>
        <v/>
      </c>
      <c r="E12" s="37" t="inlineStr">
        <is>
          <t>원수강료</t>
        </is>
      </c>
      <c r="F12" s="38">
        <f>SUM(F8:F11)</f>
        <v/>
      </c>
      <c r="G12" s="39" t="n"/>
      <c r="I12" s="40" t="n"/>
      <c r="J12" s="40" t="n"/>
      <c r="K12" s="40" t="n"/>
      <c r="L12" s="40" t="n"/>
    </row>
    <row r="13" ht="19.5" customHeight="1">
      <c r="A13" s="41" t="inlineStr">
        <is>
          <t>■ 교육과정 할인내역</t>
        </is>
      </c>
      <c r="B13" s="42" t="n"/>
      <c r="C13" s="43" t="n"/>
      <c r="D13" s="44" t="n"/>
      <c r="E13" s="44" t="n"/>
      <c r="F13" s="45" t="n"/>
      <c r="G13" s="5" t="n"/>
      <c r="I13" s="40" t="n"/>
      <c r="J13" s="40" t="n"/>
      <c r="K13" s="40" t="n"/>
      <c r="L13" s="40" t="n"/>
    </row>
    <row r="14" ht="19.5" customHeight="1">
      <c r="A14" s="20" t="inlineStr">
        <is>
          <t>세부할인 내역</t>
        </is>
      </c>
      <c r="B14" s="46" t="n"/>
      <c r="C14" s="22" t="n"/>
      <c r="D14" s="21" t="inlineStr">
        <is>
          <t>할인율(%)</t>
        </is>
      </c>
      <c r="E14" s="47" t="inlineStr">
        <is>
          <t>할인금액</t>
        </is>
      </c>
      <c r="F14" s="46" t="n"/>
      <c r="G14" s="24" t="n"/>
    </row>
    <row r="15" ht="19.5" customHeight="1">
      <c r="A15" s="48" t="inlineStr">
        <is>
          <t>할인
내역</t>
        </is>
      </c>
      <c r="B15" s="49" t="inlineStr">
        <is>
          <t>겨울방학 할인</t>
        </is>
      </c>
      <c r="C15" s="46" t="n"/>
      <c r="D15" s="50" t="n">
        <v>0.15</v>
      </c>
      <c r="E15" s="51">
        <f>F12*D15</f>
        <v/>
      </c>
      <c r="F15" s="46" t="n"/>
      <c r="G15" s="24" t="n"/>
    </row>
    <row r="16" ht="19.5" customHeight="1">
      <c r="A16" s="52" t="n"/>
      <c r="B16" s="49" t="inlineStr">
        <is>
          <t>멘토직권 할인</t>
        </is>
      </c>
      <c r="C16" s="46" t="n"/>
      <c r="D16" s="53" t="n">
        <v>0.1</v>
      </c>
      <c r="E16" s="54">
        <f>(F12*(1-D15)*D16)</f>
        <v/>
      </c>
      <c r="F16" s="46" t="n"/>
      <c r="G16" s="24" t="n"/>
    </row>
    <row r="17" ht="19.5" customHeight="1">
      <c r="A17" s="55" t="n"/>
      <c r="B17" s="49" t="inlineStr">
        <is>
          <t>잔여석 지원 할인</t>
        </is>
      </c>
      <c r="C17" s="46" t="n"/>
      <c r="D17" s="56" t="n">
        <v>0.15</v>
      </c>
      <c r="E17" s="51">
        <f>(F12*(1-D15)*(1-D16)*D17)</f>
        <v/>
      </c>
      <c r="F17" s="46" t="n"/>
      <c r="G17" s="24" t="n"/>
      <c r="H17" s="40" t="n"/>
      <c r="I17" s="25" t="n"/>
      <c r="J17" s="26" t="n"/>
      <c r="K17" s="27" t="n"/>
      <c r="L17" s="27" t="n"/>
    </row>
    <row r="18" ht="19.5" customHeight="1">
      <c r="A18" s="57" t="inlineStr">
        <is>
          <t xml:space="preserve">총 할인금액 (수강지원)  </t>
        </is>
      </c>
      <c r="B18" s="46" t="n"/>
      <c r="C18" s="22" t="n"/>
      <c r="D18" s="58">
        <f>ROUNDUP(SUM(E15:G17),-3)</f>
        <v/>
      </c>
      <c r="E18" s="46" t="n"/>
      <c r="F18" s="46" t="n"/>
      <c r="G18" s="24" t="n"/>
      <c r="H18" s="40" t="n"/>
      <c r="I18" s="25" t="n"/>
      <c r="J18" s="26" t="n"/>
      <c r="K18" s="27" t="n"/>
      <c r="L18" s="27" t="n"/>
    </row>
    <row r="19" ht="23.25" customHeight="1">
      <c r="A19" s="59" t="inlineStr">
        <is>
          <t xml:space="preserve">납부 해야할 수강료 (할인적용)  </t>
        </is>
      </c>
      <c r="B19" s="46" t="n"/>
      <c r="C19" s="22" t="n"/>
      <c r="D19" s="60">
        <f>F12-D18</f>
        <v/>
      </c>
      <c r="E19" s="46" t="n"/>
      <c r="F19" s="46" t="n"/>
      <c r="G19" s="24" t="n"/>
      <c r="H19" s="40" t="n"/>
      <c r="I19" s="40" t="n"/>
      <c r="J19" s="40" t="n"/>
      <c r="K19" s="40" t="n"/>
      <c r="L19" s="40" t="n"/>
    </row>
    <row r="20" ht="23.25" customHeight="1">
      <c r="A20" s="59" t="inlineStr">
        <is>
          <t>총 등록금액</t>
        </is>
      </c>
      <c r="B20" s="46" t="n"/>
      <c r="C20" s="22" t="n"/>
      <c r="D20" s="60">
        <f>SUM(D19+C12)</f>
        <v/>
      </c>
      <c r="E20" s="46" t="n"/>
      <c r="F20" s="46" t="n"/>
      <c r="G20" s="24" t="n"/>
      <c r="H20" s="40" t="n"/>
    </row>
    <row r="21" ht="23.25" customHeight="1">
      <c r="A21" s="59" t="inlineStr">
        <is>
          <t>3개월 할부 진행시</t>
        </is>
      </c>
      <c r="B21" s="46" t="n"/>
      <c r="C21" s="22" t="n"/>
      <c r="D21" s="61">
        <f>SUM(D20/3)</f>
        <v/>
      </c>
      <c r="E21" s="46" t="n"/>
      <c r="F21" s="46" t="n"/>
      <c r="G21" s="24" t="n"/>
      <c r="H21" s="40" t="n"/>
    </row>
    <row r="22" ht="23.25" customHeight="1">
      <c r="A22" s="59" t="inlineStr">
        <is>
          <t>6개월 할부 진행시</t>
        </is>
      </c>
      <c r="B22" s="46" t="n"/>
      <c r="C22" s="22" t="n"/>
      <c r="D22" s="61">
        <f>SUM(D20/6)</f>
        <v/>
      </c>
      <c r="E22" s="46" t="n"/>
      <c r="F22" s="46" t="n"/>
      <c r="G22" s="24" t="n"/>
      <c r="H22" s="40" t="n"/>
    </row>
    <row r="23" ht="23.25" customHeight="1">
      <c r="A23" s="59" t="inlineStr">
        <is>
          <t>1과목당 수강료</t>
        </is>
      </c>
      <c r="B23" s="46" t="n"/>
      <c r="C23" s="22" t="n"/>
      <c r="D23" s="61">
        <f>SUM(D19/D12)</f>
        <v/>
      </c>
      <c r="E23" s="46" t="n"/>
      <c r="F23" s="46" t="n"/>
      <c r="G23" s="24" t="n"/>
      <c r="H23" s="40" t="n"/>
    </row>
    <row r="24" ht="16.5" customHeight="1">
      <c r="A24" s="62" t="n"/>
      <c r="B24" s="63" t="n"/>
      <c r="G24" s="64" t="n"/>
      <c r="I24" s="65" t="n"/>
      <c r="J24" s="40" t="n"/>
      <c r="K24" s="40" t="n"/>
      <c r="L24" s="40" t="n"/>
    </row>
    <row r="25" ht="16.5" customHeight="1">
      <c r="A25" s="66" t="inlineStr">
        <is>
          <t>■ 안내사항</t>
        </is>
      </c>
      <c r="B25" s="63" t="n"/>
      <c r="C25" s="63" t="n"/>
      <c r="D25" s="63" t="n"/>
      <c r="E25" s="63" t="n"/>
      <c r="F25" s="63" t="n"/>
      <c r="G25" s="64" t="n"/>
      <c r="I25" s="65" t="n"/>
      <c r="J25" s="40" t="n"/>
      <c r="K25" s="40" t="n"/>
      <c r="L25" s="40" t="n"/>
    </row>
    <row r="26" ht="16.5" customHeight="1">
      <c r="A26" s="62" t="inlineStr">
        <is>
          <t xml:space="preserve">   1) 위 수강료는 학원내 게시되어 있는 수강료 기준이며, 교육청에 신고된 금액입니다.</t>
        </is>
      </c>
      <c r="B26" s="63" t="n"/>
      <c r="C26" s="63" t="n"/>
      <c r="D26" s="63" t="n"/>
      <c r="E26" s="63" t="n"/>
      <c r="F26" s="63" t="n"/>
      <c r="G26" s="64" t="n"/>
      <c r="I26" s="40" t="n"/>
      <c r="J26" s="40" t="n"/>
      <c r="K26" s="40" t="n"/>
      <c r="L26" s="40" t="n"/>
    </row>
    <row r="27" ht="16.5" customHeight="1">
      <c r="A27" s="62" t="inlineStr">
        <is>
          <t xml:space="preserve">   2) 위 할인내역은 해당사항에 한해 적용되며, 할인내용에 해당될 시 증명서류를 증빙해야 할인 받을 수 있습니다.</t>
        </is>
      </c>
      <c r="B27" s="63" t="n"/>
      <c r="C27" s="63" t="n"/>
      <c r="D27" s="63" t="n"/>
      <c r="E27" s="63" t="n"/>
      <c r="F27" s="63" t="n"/>
      <c r="G27" s="64" t="n"/>
      <c r="I27" s="40" t="n"/>
      <c r="J27" s="40" t="n"/>
      <c r="K27" s="40" t="n"/>
      <c r="L27" s="40" t="n"/>
    </row>
    <row r="28" ht="16.5" customHeight="1">
      <c r="A28" s="62" t="inlineStr">
        <is>
          <t xml:space="preserve">   3) 할인금액은 수강과목지원(무료)으로 진행됩니다.</t>
        </is>
      </c>
      <c r="B28" s="44" t="n"/>
      <c r="C28" s="44" t="n"/>
      <c r="D28" s="67" t="n"/>
      <c r="E28" s="67" t="n"/>
      <c r="F28" s="68" t="n"/>
      <c r="G28" s="69" t="n"/>
    </row>
    <row r="29" ht="16.5" customHeight="1">
      <c r="A29" s="62" t="n"/>
      <c r="B29" s="44" t="n"/>
      <c r="C29" s="44" t="n"/>
      <c r="D29" s="67" t="n"/>
      <c r="E29" s="67" t="n"/>
      <c r="F29" s="68" t="n"/>
      <c r="G29" s="69" t="n"/>
    </row>
    <row r="30" ht="16.5" customHeight="1">
      <c r="A30" s="66" t="inlineStr">
        <is>
          <t>■ 수강료 납부 안내</t>
        </is>
      </c>
      <c r="B30" s="70" t="n"/>
      <c r="C30" s="70" t="n"/>
      <c r="D30" s="71" t="n"/>
      <c r="E30" s="71" t="n"/>
      <c r="F30" s="71" t="n"/>
      <c r="G30" s="72" t="n"/>
    </row>
    <row r="31" ht="16.5" customHeight="1">
      <c r="A31" s="62" t="inlineStr">
        <is>
          <t xml:space="preserve">    1) 현금수납 - 학원 안내접수처에서 접수 및 결제(현금영수증 발행)</t>
        </is>
      </c>
      <c r="B31" s="73" t="n"/>
      <c r="C31" s="73" t="n"/>
      <c r="D31" s="71" t="n"/>
      <c r="E31" s="71" t="n"/>
      <c r="F31" s="71" t="n"/>
      <c r="G31" s="72" t="n"/>
    </row>
    <row r="32" ht="16.5" customHeight="1">
      <c r="A32" s="62" t="inlineStr">
        <is>
          <t xml:space="preserve">    2) 온라인입금(계좌이체) 결제(현금영수증 발행)</t>
        </is>
      </c>
      <c r="B32" s="73" t="n"/>
      <c r="C32" s="73" t="n"/>
      <c r="D32" s="71" t="n"/>
      <c r="E32" s="71" t="n"/>
      <c r="F32" s="71" t="n"/>
      <c r="G32" s="72" t="n"/>
    </row>
    <row r="33" ht="16.5" customHeight="1">
      <c r="A33" s="66" t="n"/>
      <c r="B33" s="74" t="n"/>
      <c r="C33" s="74" t="n"/>
      <c r="D33" s="71" t="n"/>
      <c r="E33" s="71" t="n"/>
      <c r="F33" s="71" t="n"/>
      <c r="G33" s="72" t="n"/>
    </row>
    <row r="34" ht="16.5" customHeight="1">
      <c r="A34" s="62" t="inlineStr">
        <is>
          <t xml:space="preserve">    3) 카드수납 - 학원 안내접수처에서 접수 및 결제 or 카드번호 결제(키인결제)</t>
        </is>
      </c>
      <c r="B34" s="75" t="n"/>
      <c r="C34" s="75" t="n"/>
      <c r="D34" s="71" t="n"/>
      <c r="E34" s="71" t="n"/>
      <c r="F34" s="71" t="n"/>
      <c r="G34" s="72" t="n"/>
    </row>
    <row r="35" ht="16.5" customHeight="1">
      <c r="A35" s="62" t="inlineStr">
        <is>
          <t xml:space="preserve">                     - 학원 홈페이지(모바일, PC) 결제 &gt; 담당멘토 문의</t>
        </is>
      </c>
      <c r="B35" s="75" t="n"/>
      <c r="C35" s="75" t="n"/>
      <c r="D35" s="71" t="n"/>
      <c r="E35" s="71" t="n"/>
      <c r="F35" s="71" t="n"/>
      <c r="G35" s="72" t="n"/>
    </row>
    <row r="36" ht="16.5" customHeight="1">
      <c r="A36" s="62" t="inlineStr">
        <is>
          <t xml:space="preserve">      * 카드사별 무이자 할부 혜택 상이함</t>
        </is>
      </c>
      <c r="B36" s="76" t="n"/>
      <c r="C36" s="76" t="n"/>
      <c r="D36" s="71" t="n"/>
      <c r="E36" s="71" t="n"/>
      <c r="F36" s="71" t="n"/>
      <c r="G36" s="72" t="n"/>
    </row>
  </sheetData>
  <mergeCells count="35">
    <mergeCell ref="F4:G4"/>
    <mergeCell ref="D18:G18"/>
    <mergeCell ref="F11:G11"/>
    <mergeCell ref="B16:C16"/>
    <mergeCell ref="B7:C7"/>
    <mergeCell ref="F10:G10"/>
    <mergeCell ref="A18:C18"/>
    <mergeCell ref="A21:C21"/>
    <mergeCell ref="E15:G15"/>
    <mergeCell ref="F7:G7"/>
    <mergeCell ref="D23:G23"/>
    <mergeCell ref="F12:G12"/>
    <mergeCell ref="B11:C11"/>
    <mergeCell ref="A23:C23"/>
    <mergeCell ref="A14:C14"/>
    <mergeCell ref="D20:G20"/>
    <mergeCell ref="A22:C22"/>
    <mergeCell ref="A15:A17"/>
    <mergeCell ref="D19:G19"/>
    <mergeCell ref="B17:C17"/>
    <mergeCell ref="B8:C8"/>
    <mergeCell ref="A20:C20"/>
    <mergeCell ref="F8:G8"/>
    <mergeCell ref="E16:G16"/>
    <mergeCell ref="D22:G22"/>
    <mergeCell ref="A1:G3"/>
    <mergeCell ref="A19:C19"/>
    <mergeCell ref="B10:C10"/>
    <mergeCell ref="D21:G21"/>
    <mergeCell ref="F13:G13"/>
    <mergeCell ref="B9:C9"/>
    <mergeCell ref="F9:G9"/>
    <mergeCell ref="B15:C15"/>
    <mergeCell ref="E14:G14"/>
    <mergeCell ref="E17:G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8.88671875" customWidth="1" min="1" max="1"/>
    <col width="29.21875" customWidth="1" min="2" max="2"/>
    <col width="14.5546875" customWidth="1" min="3" max="3"/>
    <col width="11.6640625" customWidth="1" min="4" max="4"/>
    <col width="10.77734375" customWidth="1" min="5" max="5"/>
    <col width="8.109375" customWidth="1" min="6" max="6"/>
    <col width="10.5546875" customWidth="1" min="7" max="7"/>
    <col width="5.6640625" customWidth="1" min="8" max="8"/>
    <col width="21.6640625" customWidth="1" min="9" max="9"/>
    <col width="19.44140625" customWidth="1" min="10" max="10"/>
    <col width="20" customWidth="1" min="11" max="11"/>
    <col width="19.44140625" customWidth="1" min="12" max="12"/>
    <col width="8.88671875" customWidth="1" min="13" max="13"/>
  </cols>
  <sheetData>
    <row r="1" ht="13.5" customHeight="1">
      <c r="A1" s="1" t="inlineStr">
        <is>
          <t>인공지능융합 SW 교육과정 수강료 안내</t>
        </is>
      </c>
      <c r="B1" s="2" t="n"/>
      <c r="C1" s="2" t="n"/>
      <c r="D1" s="2" t="n"/>
      <c r="E1" s="2" t="n"/>
      <c r="F1" s="2" t="n"/>
      <c r="G1" s="3" t="n"/>
    </row>
    <row r="2" ht="13.5" customHeight="1">
      <c r="A2" s="4" t="n"/>
      <c r="G2" s="5" t="n"/>
    </row>
    <row r="3" ht="13.5" customHeight="1">
      <c r="A3" s="4" t="n"/>
      <c r="G3" s="5" t="n"/>
    </row>
    <row r="4" ht="27" customHeight="1">
      <c r="A4" s="6" t="n"/>
      <c r="B4" s="7" t="n"/>
      <c r="C4" s="8" t="n"/>
      <c r="D4" s="9" t="n"/>
      <c r="E4" s="10" t="n"/>
      <c r="F4" s="11" t="n"/>
      <c r="G4" s="5" t="n"/>
    </row>
    <row r="5" ht="27" customHeight="1">
      <c r="A5" s="6" t="n"/>
      <c r="B5" s="7" t="n"/>
      <c r="C5" s="12" t="inlineStr">
        <is>
          <t xml:space="preserve">상 담 일 자 : </t>
        </is>
      </c>
      <c r="D5" s="13">
        <f>TODAY()</f>
        <v/>
      </c>
      <c r="E5" s="14" t="inlineStr">
        <is>
          <t xml:space="preserve">상 담 자 : </t>
        </is>
      </c>
      <c r="F5" s="15" t="inlineStr">
        <is>
          <t>안재현 교육멘토</t>
        </is>
      </c>
      <c r="G5" s="16" t="n"/>
    </row>
    <row r="6" ht="19.5" customHeight="1">
      <c r="A6" s="17" t="inlineStr">
        <is>
          <t xml:space="preserve">■  과정 및 수강료                              </t>
        </is>
      </c>
      <c r="B6" s="15" t="n"/>
      <c r="C6" s="8" t="n"/>
      <c r="D6" s="18" t="n"/>
      <c r="E6" s="12" t="inlineStr">
        <is>
          <t xml:space="preserve">연 락 처 : </t>
        </is>
      </c>
      <c r="F6" s="15" t="inlineStr">
        <is>
          <t>042-710-8921</t>
        </is>
      </c>
      <c r="G6" s="19" t="n"/>
    </row>
    <row r="7" ht="19.5" customHeight="1">
      <c r="A7" s="20" t="inlineStr">
        <is>
          <t>과 정</t>
        </is>
      </c>
      <c r="B7" s="21" t="inlineStr">
        <is>
          <t>과목명</t>
        </is>
      </c>
      <c r="C7" s="22" t="n"/>
      <c r="D7" s="21" t="inlineStr">
        <is>
          <t>COURSE</t>
        </is>
      </c>
      <c r="E7" s="21" t="inlineStr">
        <is>
          <t>DAY</t>
        </is>
      </c>
      <c r="F7" s="23" t="inlineStr">
        <is>
          <t>수강료</t>
        </is>
      </c>
      <c r="G7" s="24" t="n"/>
      <c r="I7" s="25" t="n"/>
      <c r="J7" s="26" t="n"/>
      <c r="K7" s="27" t="n"/>
      <c r="L7" s="27" t="n"/>
    </row>
    <row r="8" ht="19.5" customHeight="1">
      <c r="A8" s="28" t="n"/>
      <c r="B8" s="29" t="inlineStr">
        <is>
          <t>파이썬 1</t>
        </is>
      </c>
      <c r="C8" s="22" t="n"/>
      <c r="D8" s="30" t="n">
        <v>1</v>
      </c>
      <c r="E8" s="31" t="inlineStr">
        <is>
          <t>평일 / 주말</t>
        </is>
      </c>
      <c r="F8" s="32" t="n">
        <v>400000</v>
      </c>
      <c r="G8" s="24" t="n"/>
      <c r="I8" s="25" t="n"/>
      <c r="J8" s="26" t="n"/>
      <c r="K8" s="27" t="n"/>
      <c r="L8" s="27" t="n"/>
    </row>
    <row r="9" ht="19.5" customHeight="1">
      <c r="A9" s="28" t="n"/>
      <c r="B9" s="29" t="inlineStr">
        <is>
          <t>파이썬 2</t>
        </is>
      </c>
      <c r="C9" s="22" t="n"/>
      <c r="D9" s="30" t="n">
        <v>1</v>
      </c>
      <c r="E9" s="31" t="inlineStr">
        <is>
          <t>평일 / 주말</t>
        </is>
      </c>
      <c r="F9" s="32" t="n">
        <v>400000</v>
      </c>
      <c r="G9" s="24" t="n"/>
      <c r="I9" s="25" t="n"/>
      <c r="J9" s="26" t="n"/>
      <c r="K9" s="27" t="n"/>
      <c r="L9" s="27" t="n"/>
    </row>
    <row r="10" ht="19.5" customHeight="1">
      <c r="A10" s="28" t="n"/>
      <c r="B10" s="29" t="inlineStr">
        <is>
          <t>파이썬 3</t>
        </is>
      </c>
      <c r="C10" s="22" t="n"/>
      <c r="D10" s="30" t="n">
        <v>1</v>
      </c>
      <c r="E10" s="31" t="inlineStr">
        <is>
          <t>평일 / 주말</t>
        </is>
      </c>
      <c r="F10" s="32" t="n">
        <v>400000</v>
      </c>
      <c r="G10" s="24" t="n"/>
      <c r="I10" s="25" t="n"/>
      <c r="J10" s="26" t="n"/>
      <c r="K10" s="27" t="n"/>
      <c r="L10" s="27" t="n"/>
    </row>
    <row r="11" ht="19.5" customHeight="1">
      <c r="A11" s="28" t="n"/>
      <c r="B11" s="29" t="inlineStr">
        <is>
          <t>자바 1</t>
        </is>
      </c>
      <c r="C11" s="22" t="n"/>
      <c r="D11" s="30" t="n">
        <v>1</v>
      </c>
      <c r="E11" s="31" t="inlineStr">
        <is>
          <t>평일 / 주말</t>
        </is>
      </c>
      <c r="F11" s="32" t="n">
        <v>400000</v>
      </c>
      <c r="G11" s="24" t="n"/>
      <c r="I11" s="25" t="n"/>
      <c r="J11" s="26" t="n"/>
      <c r="K11" s="27" t="n"/>
      <c r="L11" s="27" t="n"/>
    </row>
    <row r="12" ht="19.5" customHeight="1">
      <c r="A12" s="28" t="n"/>
      <c r="B12" s="29" t="inlineStr">
        <is>
          <t>자바 2</t>
        </is>
      </c>
      <c r="C12" s="22" t="n"/>
      <c r="D12" s="30" t="n">
        <v>1</v>
      </c>
      <c r="E12" s="31" t="inlineStr">
        <is>
          <t>평일 / 주말</t>
        </is>
      </c>
      <c r="F12" s="32" t="n">
        <v>400000</v>
      </c>
      <c r="G12" s="24" t="n"/>
      <c r="I12" s="25" t="n"/>
      <c r="J12" s="26" t="n"/>
      <c r="K12" s="27" t="n"/>
      <c r="L12" s="27" t="n"/>
    </row>
    <row r="13" ht="19.5" customHeight="1">
      <c r="A13" s="28" t="n"/>
      <c r="B13" s="29" t="inlineStr">
        <is>
          <t>C언어 1</t>
        </is>
      </c>
      <c r="C13" s="22" t="n"/>
      <c r="D13" s="30" t="n">
        <v>1</v>
      </c>
      <c r="E13" s="31" t="inlineStr">
        <is>
          <t>평일 / 주말</t>
        </is>
      </c>
      <c r="F13" s="32" t="n">
        <v>400000</v>
      </c>
      <c r="G13" s="24" t="n"/>
      <c r="I13" s="25" t="n"/>
      <c r="J13" s="26" t="n"/>
      <c r="K13" s="27" t="n"/>
      <c r="L13" s="27" t="n"/>
    </row>
    <row r="14" ht="19.5" customHeight="1">
      <c r="A14" s="28" t="n"/>
      <c r="B14" s="29" t="inlineStr">
        <is>
          <t>C언어 2</t>
        </is>
      </c>
      <c r="C14" s="22" t="n"/>
      <c r="D14" s="30" t="n">
        <v>1</v>
      </c>
      <c r="E14" s="31" t="inlineStr">
        <is>
          <t>평일 / 주말</t>
        </is>
      </c>
      <c r="F14" s="32" t="n">
        <v>400000</v>
      </c>
      <c r="G14" s="24" t="n"/>
      <c r="I14" s="25" t="n"/>
      <c r="J14" s="26" t="n"/>
      <c r="K14" s="27" t="n"/>
      <c r="L14" s="27" t="n"/>
    </row>
    <row r="15" ht="19.5" customHeight="1">
      <c r="A15" s="28" t="n"/>
      <c r="B15" s="29" t="inlineStr">
        <is>
          <t>머신러닝 1</t>
        </is>
      </c>
      <c r="C15" s="22" t="n"/>
      <c r="D15" s="30" t="n">
        <v>1</v>
      </c>
      <c r="E15" s="31" t="inlineStr">
        <is>
          <t>평일 / 주말</t>
        </is>
      </c>
      <c r="F15" s="32" t="n">
        <v>400000</v>
      </c>
      <c r="G15" s="24" t="n"/>
      <c r="I15" s="25" t="n"/>
      <c r="J15" s="26" t="n"/>
      <c r="K15" s="27" t="n"/>
      <c r="L15" s="27" t="n"/>
    </row>
    <row r="16" ht="19.5" customHeight="1">
      <c r="A16" s="28" t="n"/>
      <c r="B16" s="29" t="inlineStr">
        <is>
          <t>머신러닝 2</t>
        </is>
      </c>
      <c r="C16" s="22" t="n"/>
      <c r="D16" s="30" t="n">
        <v>1</v>
      </c>
      <c r="E16" s="31" t="inlineStr">
        <is>
          <t>평일 / 주말</t>
        </is>
      </c>
      <c r="F16" s="32" t="n">
        <v>400000</v>
      </c>
      <c r="G16" s="24" t="n"/>
      <c r="I16" s="25" t="n"/>
      <c r="J16" s="26" t="n"/>
      <c r="K16" s="27" t="n"/>
      <c r="L16" s="27" t="n"/>
    </row>
    <row r="17" ht="19.5" customHeight="1">
      <c r="A17" s="28" t="n"/>
      <c r="B17" s="29" t="inlineStr">
        <is>
          <t>머신러닝 3</t>
        </is>
      </c>
      <c r="C17" s="22" t="n"/>
      <c r="D17" s="30" t="n">
        <v>1</v>
      </c>
      <c r="E17" s="31" t="inlineStr">
        <is>
          <t>평일 / 주말</t>
        </is>
      </c>
      <c r="F17" s="32" t="n">
        <v>400000</v>
      </c>
      <c r="G17" s="24" t="n"/>
      <c r="I17" s="25" t="n"/>
      <c r="J17" s="26" t="n"/>
      <c r="K17" s="27" t="n"/>
      <c r="L17" s="27" t="n"/>
    </row>
    <row r="18" ht="19.5" customHeight="1">
      <c r="A18" s="28" t="n"/>
      <c r="B18" s="29" t="inlineStr">
        <is>
          <t>머신러닝 4</t>
        </is>
      </c>
      <c r="C18" s="22" t="n"/>
      <c r="D18" s="30" t="n">
        <v>1</v>
      </c>
      <c r="E18" s="31" t="inlineStr">
        <is>
          <t>평일 / 주말</t>
        </is>
      </c>
      <c r="F18" s="32" t="n">
        <v>400000</v>
      </c>
      <c r="G18" s="24" t="n"/>
      <c r="I18" s="25" t="n"/>
      <c r="J18" s="26" t="n"/>
      <c r="K18" s="27" t="n"/>
      <c r="L18" s="27" t="n"/>
    </row>
    <row r="19" ht="33.6" customHeight="1">
      <c r="A19" s="33" t="inlineStr">
        <is>
          <t>따즈아</t>
        </is>
      </c>
      <c r="B19" s="34" t="inlineStr">
        <is>
          <t>온라인강의</t>
        </is>
      </c>
      <c r="C19" s="35" t="n">
        <v>0</v>
      </c>
      <c r="D19" s="36">
        <f>SUM(D8:D18)</f>
        <v/>
      </c>
      <c r="E19" s="37" t="inlineStr">
        <is>
          <t>원수강료</t>
        </is>
      </c>
      <c r="F19" s="38">
        <f>SUM(F8:F18)</f>
        <v/>
      </c>
      <c r="G19" s="39" t="n"/>
      <c r="I19" s="40" t="n"/>
      <c r="J19" s="40" t="n"/>
      <c r="K19" s="40" t="n"/>
      <c r="L19" s="40" t="n"/>
    </row>
    <row r="20" ht="19.5" customHeight="1">
      <c r="A20" s="41" t="inlineStr">
        <is>
          <t>■ 교육과정 할인내역</t>
        </is>
      </c>
      <c r="B20" s="42" t="n"/>
      <c r="C20" s="43" t="n"/>
      <c r="D20" s="44" t="n"/>
      <c r="E20" s="44" t="n"/>
      <c r="F20" s="45" t="n"/>
      <c r="G20" s="5" t="n"/>
      <c r="I20" s="40" t="n"/>
      <c r="J20" s="40" t="n"/>
      <c r="K20" s="40" t="n"/>
      <c r="L20" s="40" t="n"/>
    </row>
    <row r="21" ht="19.5" customHeight="1">
      <c r="A21" s="20" t="inlineStr">
        <is>
          <t>세부할인 내역</t>
        </is>
      </c>
      <c r="B21" s="46" t="n"/>
      <c r="C21" s="22" t="n"/>
      <c r="D21" s="21" t="inlineStr">
        <is>
          <t>할인율(%)</t>
        </is>
      </c>
      <c r="E21" s="47" t="inlineStr">
        <is>
          <t>할인금액</t>
        </is>
      </c>
      <c r="F21" s="46" t="n"/>
      <c r="G21" s="24" t="n"/>
    </row>
    <row r="22" ht="19.5" customHeight="1">
      <c r="A22" s="48" t="inlineStr">
        <is>
          <t>할인
내역</t>
        </is>
      </c>
      <c r="B22" s="49" t="inlineStr">
        <is>
          <t>겨울방학 할인</t>
        </is>
      </c>
      <c r="C22" s="46" t="n"/>
      <c r="D22" s="50" t="n">
        <v>0.15</v>
      </c>
      <c r="E22" s="51">
        <f>F19*D22</f>
        <v/>
      </c>
      <c r="F22" s="46" t="n"/>
      <c r="G22" s="24" t="n"/>
    </row>
    <row r="23" ht="19.5" customHeight="1">
      <c r="A23" s="52" t="n"/>
      <c r="B23" s="49" t="inlineStr">
        <is>
          <t>멘토직권 할인</t>
        </is>
      </c>
      <c r="C23" s="46" t="n"/>
      <c r="D23" s="53" t="n">
        <v>0.1</v>
      </c>
      <c r="E23" s="54">
        <f>(F19*(1-D22)*D23)</f>
        <v/>
      </c>
      <c r="F23" s="46" t="n"/>
      <c r="G23" s="24" t="n"/>
    </row>
    <row r="24" ht="19.5" customHeight="1">
      <c r="A24" s="55" t="n"/>
      <c r="B24" s="49" t="inlineStr">
        <is>
          <t>잔여석 지원 할인</t>
        </is>
      </c>
      <c r="C24" s="46" t="n"/>
      <c r="D24" s="56" t="n">
        <v>0.15</v>
      </c>
      <c r="E24" s="51">
        <f>(F19*(1-D22)*(1-D23)*D24)</f>
        <v/>
      </c>
      <c r="F24" s="46" t="n"/>
      <c r="G24" s="24" t="n"/>
      <c r="H24" s="40" t="n"/>
      <c r="I24" s="25" t="n"/>
      <c r="J24" s="26" t="n"/>
      <c r="K24" s="27" t="n"/>
      <c r="L24" s="27" t="n"/>
    </row>
    <row r="25" ht="19.5" customHeight="1">
      <c r="A25" s="57" t="inlineStr">
        <is>
          <t xml:space="preserve">총 할인금액 (수강지원)  </t>
        </is>
      </c>
      <c r="B25" s="46" t="n"/>
      <c r="C25" s="22" t="n"/>
      <c r="D25" s="58">
        <f>ROUNDUP(SUM(E22:G24),-3)</f>
        <v/>
      </c>
      <c r="E25" s="46" t="n"/>
      <c r="F25" s="46" t="n"/>
      <c r="G25" s="24" t="n"/>
      <c r="H25" s="40" t="n"/>
      <c r="I25" s="25" t="n"/>
      <c r="J25" s="26" t="n"/>
      <c r="K25" s="27" t="n"/>
      <c r="L25" s="27" t="n"/>
    </row>
    <row r="26" ht="23.25" customHeight="1">
      <c r="A26" s="59" t="inlineStr">
        <is>
          <t xml:space="preserve">납부 해야할 수강료 (할인적용)  </t>
        </is>
      </c>
      <c r="B26" s="46" t="n"/>
      <c r="C26" s="22" t="n"/>
      <c r="D26" s="60">
        <f>F19-D25</f>
        <v/>
      </c>
      <c r="E26" s="46" t="n"/>
      <c r="F26" s="46" t="n"/>
      <c r="G26" s="24" t="n"/>
      <c r="H26" s="40" t="n"/>
      <c r="I26" s="40" t="n"/>
      <c r="J26" s="40" t="n"/>
      <c r="K26" s="40" t="n"/>
      <c r="L26" s="40" t="n"/>
    </row>
    <row r="27" ht="23.25" customHeight="1">
      <c r="A27" s="59" t="inlineStr">
        <is>
          <t>총 등록금액</t>
        </is>
      </c>
      <c r="B27" s="46" t="n"/>
      <c r="C27" s="22" t="n"/>
      <c r="D27" s="60">
        <f>SUM(D26+C19)</f>
        <v/>
      </c>
      <c r="E27" s="46" t="n"/>
      <c r="F27" s="46" t="n"/>
      <c r="G27" s="24" t="n"/>
      <c r="H27" s="40" t="n"/>
    </row>
    <row r="28" ht="23.25" customHeight="1">
      <c r="A28" s="59" t="inlineStr">
        <is>
          <t>3개월 할부 진행시</t>
        </is>
      </c>
      <c r="B28" s="46" t="n"/>
      <c r="C28" s="22" t="n"/>
      <c r="D28" s="61">
        <f>SUM(D27/3)</f>
        <v/>
      </c>
      <c r="E28" s="46" t="n"/>
      <c r="F28" s="46" t="n"/>
      <c r="G28" s="24" t="n"/>
      <c r="H28" s="40" t="n"/>
    </row>
    <row r="29" ht="23.25" customHeight="1">
      <c r="A29" s="59" t="inlineStr">
        <is>
          <t>6개월 할부 진행시</t>
        </is>
      </c>
      <c r="B29" s="46" t="n"/>
      <c r="C29" s="22" t="n"/>
      <c r="D29" s="61">
        <f>SUM(D27/6)</f>
        <v/>
      </c>
      <c r="E29" s="46" t="n"/>
      <c r="F29" s="46" t="n"/>
      <c r="G29" s="24" t="n"/>
      <c r="H29" s="40" t="n"/>
    </row>
    <row r="30" ht="23.25" customHeight="1">
      <c r="A30" s="59" t="inlineStr">
        <is>
          <t>1과목당 수강료</t>
        </is>
      </c>
      <c r="B30" s="46" t="n"/>
      <c r="C30" s="22" t="n"/>
      <c r="D30" s="61">
        <f>SUM(D26/D19)</f>
        <v/>
      </c>
      <c r="E30" s="46" t="n"/>
      <c r="F30" s="46" t="n"/>
      <c r="G30" s="24" t="n"/>
      <c r="H30" s="40" t="n"/>
    </row>
    <row r="31" ht="16.5" customHeight="1">
      <c r="A31" s="62" t="n"/>
      <c r="B31" s="63" t="n"/>
      <c r="G31" s="64" t="n"/>
      <c r="I31" s="65" t="n"/>
      <c r="J31" s="40" t="n"/>
      <c r="K31" s="40" t="n"/>
      <c r="L31" s="40" t="n"/>
    </row>
    <row r="32" ht="16.5" customHeight="1">
      <c r="A32" s="66" t="inlineStr">
        <is>
          <t>■ 안내사항</t>
        </is>
      </c>
      <c r="B32" s="63" t="n"/>
      <c r="C32" s="63" t="n"/>
      <c r="D32" s="63" t="n"/>
      <c r="E32" s="63" t="n"/>
      <c r="F32" s="63" t="n"/>
      <c r="G32" s="64" t="n"/>
      <c r="I32" s="65" t="n"/>
      <c r="J32" s="40" t="n"/>
      <c r="K32" s="40" t="n"/>
      <c r="L32" s="40" t="n"/>
    </row>
    <row r="33" ht="16.5" customHeight="1">
      <c r="A33" s="62" t="inlineStr">
        <is>
          <t xml:space="preserve">   1) 위 수강료는 학원내 게시되어 있는 수강료 기준이며, 교육청에 신고된 금액입니다.</t>
        </is>
      </c>
      <c r="B33" s="63" t="n"/>
      <c r="C33" s="63" t="n"/>
      <c r="D33" s="63" t="n"/>
      <c r="E33" s="63" t="n"/>
      <c r="F33" s="63" t="n"/>
      <c r="G33" s="64" t="n"/>
      <c r="I33" s="40" t="n"/>
      <c r="J33" s="40" t="n"/>
      <c r="K33" s="40" t="n"/>
      <c r="L33" s="40" t="n"/>
    </row>
    <row r="34" ht="16.5" customHeight="1">
      <c r="A34" s="62" t="inlineStr">
        <is>
          <t xml:space="preserve">   2) 위 할인내역은 해당사항에 한해 적용되며, 할인내용에 해당될 시 증명서류를 증빙해야 할인 받을 수 있습니다.</t>
        </is>
      </c>
      <c r="B34" s="63" t="n"/>
      <c r="C34" s="63" t="n"/>
      <c r="D34" s="63" t="n"/>
      <c r="E34" s="63" t="n"/>
      <c r="F34" s="63" t="n"/>
      <c r="G34" s="64" t="n"/>
      <c r="I34" s="40" t="n"/>
      <c r="J34" s="40" t="n"/>
      <c r="K34" s="40" t="n"/>
      <c r="L34" s="40" t="n"/>
    </row>
    <row r="35" ht="16.5" customHeight="1">
      <c r="A35" s="62" t="inlineStr">
        <is>
          <t xml:space="preserve">   3) 할인금액은 수강과목지원(무료)으로 진행됩니다.</t>
        </is>
      </c>
      <c r="B35" s="44" t="n"/>
      <c r="C35" s="44" t="n"/>
      <c r="D35" s="67" t="n"/>
      <c r="E35" s="67" t="n"/>
      <c r="F35" s="68" t="n"/>
      <c r="G35" s="69" t="n"/>
    </row>
    <row r="36" ht="16.5" customHeight="1">
      <c r="A36" s="62" t="n"/>
      <c r="B36" s="44" t="n"/>
      <c r="C36" s="44" t="n"/>
      <c r="D36" s="67" t="n"/>
      <c r="E36" s="67" t="n"/>
      <c r="F36" s="68" t="n"/>
      <c r="G36" s="69" t="n"/>
    </row>
    <row r="37" ht="16.5" customHeight="1">
      <c r="A37" s="66" t="inlineStr">
        <is>
          <t>■ 수강료 납부 안내</t>
        </is>
      </c>
      <c r="B37" s="70" t="n"/>
      <c r="C37" s="70" t="n"/>
      <c r="D37" s="71" t="n"/>
      <c r="E37" s="71" t="n"/>
      <c r="F37" s="71" t="n"/>
      <c r="G37" s="72" t="n"/>
    </row>
    <row r="38" ht="16.5" customHeight="1">
      <c r="A38" s="62" t="inlineStr">
        <is>
          <t xml:space="preserve">    1) 현금수납 - 학원 안내접수처에서 접수 및 결제(현금영수증 발행)</t>
        </is>
      </c>
      <c r="B38" s="73" t="n"/>
      <c r="C38" s="73" t="n"/>
      <c r="D38" s="71" t="n"/>
      <c r="E38" s="71" t="n"/>
      <c r="F38" s="71" t="n"/>
      <c r="G38" s="72" t="n"/>
    </row>
    <row r="39" ht="16.5" customHeight="1">
      <c r="A39" s="62" t="inlineStr">
        <is>
          <t xml:space="preserve">    2) 온라인입금(계좌이체) 결제(현금영수증 발행)</t>
        </is>
      </c>
      <c r="B39" s="73" t="n"/>
      <c r="C39" s="73" t="n"/>
      <c r="D39" s="71" t="n"/>
      <c r="E39" s="71" t="n"/>
      <c r="F39" s="71" t="n"/>
      <c r="G39" s="72" t="n"/>
    </row>
    <row r="40" ht="16.5" customHeight="1">
      <c r="A40" s="66" t="n"/>
      <c r="B40" s="74" t="n"/>
      <c r="C40" s="74" t="n"/>
      <c r="D40" s="71" t="n"/>
      <c r="E40" s="71" t="n"/>
      <c r="F40" s="71" t="n"/>
      <c r="G40" s="72" t="n"/>
    </row>
    <row r="41" ht="16.5" customHeight="1">
      <c r="A41" s="62" t="inlineStr">
        <is>
          <t xml:space="preserve">    3) 카드수납 - 학원 안내접수처에서 접수 및 결제 or 카드번호 결제(키인결제)</t>
        </is>
      </c>
      <c r="B41" s="75" t="n"/>
      <c r="C41" s="75" t="n"/>
      <c r="D41" s="71" t="n"/>
      <c r="E41" s="71" t="n"/>
      <c r="F41" s="71" t="n"/>
      <c r="G41" s="72" t="n"/>
    </row>
    <row r="42" ht="16.5" customHeight="1">
      <c r="A42" s="62" t="inlineStr">
        <is>
          <t xml:space="preserve">                     - 학원 홈페이지(모바일, PC) 결제 &gt; 담당멘토 문의</t>
        </is>
      </c>
      <c r="B42" s="75" t="n"/>
      <c r="C42" s="75" t="n"/>
      <c r="D42" s="71" t="n"/>
      <c r="E42" s="71" t="n"/>
      <c r="F42" s="71" t="n"/>
      <c r="G42" s="72" t="n"/>
    </row>
    <row r="43" ht="16.5" customHeight="1">
      <c r="A43" s="62" t="inlineStr">
        <is>
          <t xml:space="preserve">      * 카드사별 무이자 할부 혜택 상이함</t>
        </is>
      </c>
      <c r="B43" s="76" t="n"/>
      <c r="C43" s="76" t="n"/>
      <c r="D43" s="71" t="n"/>
      <c r="E43" s="71" t="n"/>
      <c r="F43" s="71" t="n"/>
      <c r="G43" s="72" t="n"/>
    </row>
  </sheetData>
  <mergeCells count="49">
    <mergeCell ref="F4:G4"/>
    <mergeCell ref="A25:C25"/>
    <mergeCell ref="F11:G11"/>
    <mergeCell ref="B16:C16"/>
    <mergeCell ref="B7:C7"/>
    <mergeCell ref="F10:G10"/>
    <mergeCell ref="F16:G16"/>
    <mergeCell ref="D25:G25"/>
    <mergeCell ref="F19:G19"/>
    <mergeCell ref="D30:G30"/>
    <mergeCell ref="B22:C22"/>
    <mergeCell ref="A27:C27"/>
    <mergeCell ref="A21:C21"/>
    <mergeCell ref="D29:G29"/>
    <mergeCell ref="B18:C18"/>
    <mergeCell ref="A22:A24"/>
    <mergeCell ref="A26:C26"/>
    <mergeCell ref="F7:G7"/>
    <mergeCell ref="B12:C12"/>
    <mergeCell ref="F12:G12"/>
    <mergeCell ref="D26:G26"/>
    <mergeCell ref="B11:C11"/>
    <mergeCell ref="F15:G15"/>
    <mergeCell ref="F20:G20"/>
    <mergeCell ref="F18:G18"/>
    <mergeCell ref="B23:C23"/>
    <mergeCell ref="B14:C14"/>
    <mergeCell ref="B17:C17"/>
    <mergeCell ref="A29:C29"/>
    <mergeCell ref="B8:C8"/>
    <mergeCell ref="F17:G17"/>
    <mergeCell ref="F8:G8"/>
    <mergeCell ref="B13:C13"/>
    <mergeCell ref="A28:C28"/>
    <mergeCell ref="A1:G3"/>
    <mergeCell ref="E22:G22"/>
    <mergeCell ref="B10:C10"/>
    <mergeCell ref="A30:C30"/>
    <mergeCell ref="F13:G13"/>
    <mergeCell ref="B9:C9"/>
    <mergeCell ref="E21:G21"/>
    <mergeCell ref="D27:G27"/>
    <mergeCell ref="F9:G9"/>
    <mergeCell ref="E24:G24"/>
    <mergeCell ref="B24:C24"/>
    <mergeCell ref="B15:C15"/>
    <mergeCell ref="E23:G23"/>
    <mergeCell ref="F14:G14"/>
    <mergeCell ref="D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8.88671875" customWidth="1" min="1" max="1"/>
    <col width="29.21875" customWidth="1" min="2" max="2"/>
    <col width="14.5546875" customWidth="1" min="3" max="3"/>
    <col width="11.6640625" customWidth="1" min="4" max="4"/>
    <col width="10.77734375" customWidth="1" min="5" max="5"/>
    <col width="8.109375" customWidth="1" min="6" max="6"/>
    <col width="10.5546875" customWidth="1" min="7" max="7"/>
    <col width="5.6640625" customWidth="1" min="8" max="8"/>
    <col width="21.6640625" customWidth="1" min="9" max="9"/>
    <col width="19.44140625" customWidth="1" min="10" max="10"/>
    <col width="20" customWidth="1" min="11" max="11"/>
    <col width="19.44140625" customWidth="1" min="12" max="12"/>
    <col width="8.88671875" customWidth="1" min="13" max="13"/>
  </cols>
  <sheetData>
    <row r="1" ht="13.5" customHeight="1">
      <c r="A1" s="1" t="inlineStr">
        <is>
          <t>UIUX·웹 교육과정 수강료 안내</t>
        </is>
      </c>
      <c r="B1" s="2" t="n"/>
      <c r="C1" s="2" t="n"/>
      <c r="D1" s="2" t="n"/>
      <c r="E1" s="2" t="n"/>
      <c r="F1" s="2" t="n"/>
      <c r="G1" s="3" t="n"/>
    </row>
    <row r="2" ht="13.5" customHeight="1">
      <c r="A2" s="4" t="n"/>
      <c r="G2" s="5" t="n"/>
    </row>
    <row r="3" ht="13.5" customHeight="1">
      <c r="A3" s="4" t="n"/>
      <c r="G3" s="5" t="n"/>
    </row>
    <row r="4" ht="27" customHeight="1">
      <c r="A4" s="6" t="n"/>
      <c r="B4" s="7" t="n"/>
      <c r="C4" s="8" t="n"/>
      <c r="D4" s="9" t="n"/>
      <c r="E4" s="10" t="n"/>
      <c r="F4" s="11" t="n"/>
      <c r="G4" s="5" t="n"/>
    </row>
    <row r="5" ht="27" customHeight="1">
      <c r="A5" s="6" t="n"/>
      <c r="B5" s="7" t="n"/>
      <c r="C5" s="12" t="inlineStr">
        <is>
          <t xml:space="preserve">상 담 일 자 : </t>
        </is>
      </c>
      <c r="D5" s="13">
        <f>TODAY()</f>
        <v/>
      </c>
      <c r="E5" s="14" t="inlineStr">
        <is>
          <t xml:space="preserve">상 담 자 : </t>
        </is>
      </c>
      <c r="F5" s="15" t="inlineStr">
        <is>
          <t>안재현 교육멘토</t>
        </is>
      </c>
      <c r="G5" s="16" t="n"/>
    </row>
    <row r="6" ht="19.5" customHeight="1">
      <c r="A6" s="17" t="inlineStr">
        <is>
          <t xml:space="preserve">■  과정 및 수강료                              </t>
        </is>
      </c>
      <c r="B6" s="15" t="n"/>
      <c r="C6" s="8" t="n"/>
      <c r="D6" s="18" t="n"/>
      <c r="E6" s="12" t="inlineStr">
        <is>
          <t xml:space="preserve">연 락 처 : </t>
        </is>
      </c>
      <c r="F6" s="15" t="inlineStr">
        <is>
          <t>042-710-8921</t>
        </is>
      </c>
      <c r="G6" s="19" t="n"/>
    </row>
    <row r="7" ht="19.5" customHeight="1">
      <c r="A7" s="20" t="inlineStr">
        <is>
          <t>과 정</t>
        </is>
      </c>
      <c r="B7" s="21" t="inlineStr">
        <is>
          <t>과목명</t>
        </is>
      </c>
      <c r="C7" s="22" t="n"/>
      <c r="D7" s="21" t="inlineStr">
        <is>
          <t>COURSE</t>
        </is>
      </c>
      <c r="E7" s="21" t="inlineStr">
        <is>
          <t>DAY</t>
        </is>
      </c>
      <c r="F7" s="23" t="inlineStr">
        <is>
          <t>수강료</t>
        </is>
      </c>
      <c r="G7" s="24" t="n"/>
      <c r="I7" s="25" t="n"/>
      <c r="J7" s="26" t="n"/>
      <c r="K7" s="27" t="n"/>
      <c r="L7" s="27" t="n"/>
    </row>
    <row r="8" ht="19.5" customHeight="1">
      <c r="A8" s="28" t="n"/>
      <c r="B8" s="29" t="inlineStr">
        <is>
          <t>발상과표현</t>
        </is>
      </c>
      <c r="C8" s="22" t="n"/>
      <c r="D8" s="30" t="n">
        <v>1</v>
      </c>
      <c r="E8" s="31" t="inlineStr">
        <is>
          <t>평일 / 주말</t>
        </is>
      </c>
      <c r="F8" s="32" t="n">
        <v>400000</v>
      </c>
      <c r="G8" s="24" t="n"/>
      <c r="I8" s="25" t="n"/>
      <c r="J8" s="26" t="n"/>
      <c r="K8" s="27" t="n"/>
      <c r="L8" s="27" t="n"/>
    </row>
    <row r="9" ht="19.5" customHeight="1">
      <c r="A9" s="28" t="n"/>
      <c r="B9" s="29" t="inlineStr">
        <is>
          <t>색채학</t>
        </is>
      </c>
      <c r="C9" s="22" t="n"/>
      <c r="D9" s="30" t="n">
        <v>1</v>
      </c>
      <c r="E9" s="31" t="inlineStr">
        <is>
          <t>평일 / 주말</t>
        </is>
      </c>
      <c r="F9" s="32" t="n">
        <v>400000</v>
      </c>
      <c r="G9" s="24" t="n"/>
      <c r="I9" s="25" t="n"/>
      <c r="J9" s="26" t="n"/>
      <c r="K9" s="27" t="n"/>
      <c r="L9" s="27" t="n"/>
    </row>
    <row r="10" ht="19.5" customHeight="1">
      <c r="A10" s="28" t="n"/>
      <c r="B10" s="29" t="inlineStr">
        <is>
          <t>포토샵, 일러스트</t>
        </is>
      </c>
      <c r="C10" s="22" t="n"/>
      <c r="D10" s="30" t="n">
        <v>1</v>
      </c>
      <c r="E10" s="31" t="inlineStr">
        <is>
          <t>평일 / 주말</t>
        </is>
      </c>
      <c r="F10" s="32" t="n">
        <v>350000</v>
      </c>
      <c r="G10" s="24" t="n"/>
      <c r="I10" s="25" t="n"/>
      <c r="J10" s="26" t="n"/>
      <c r="K10" s="27" t="n"/>
      <c r="L10" s="27" t="n"/>
    </row>
    <row r="11" ht="19.5" customHeight="1">
      <c r="A11" s="28" t="n"/>
      <c r="B11" s="29" t="inlineStr">
        <is>
          <t>포토웍스, 디일러</t>
        </is>
      </c>
      <c r="C11" s="22" t="n"/>
      <c r="D11" s="30" t="n">
        <v>1</v>
      </c>
      <c r="E11" s="31" t="inlineStr">
        <is>
          <t>평일 / 주말</t>
        </is>
      </c>
      <c r="F11" s="32" t="n">
        <v>400000</v>
      </c>
      <c r="G11" s="24" t="n"/>
      <c r="I11" s="25" t="n"/>
      <c r="J11" s="26" t="n"/>
      <c r="K11" s="27" t="n"/>
      <c r="L11" s="27" t="n"/>
    </row>
    <row r="12" ht="19.5" customHeight="1">
      <c r="A12" s="28" t="n"/>
      <c r="B12" s="29" t="inlineStr">
        <is>
          <t>인포그래픽</t>
        </is>
      </c>
      <c r="C12" s="22" t="n"/>
      <c r="D12" s="30" t="n">
        <v>1</v>
      </c>
      <c r="E12" s="31" t="inlineStr">
        <is>
          <t>평일 / 주말</t>
        </is>
      </c>
      <c r="F12" s="32" t="n">
        <v>400000</v>
      </c>
      <c r="G12" s="24" t="n"/>
      <c r="I12" s="25" t="n"/>
      <c r="J12" s="26" t="n"/>
      <c r="K12" s="27" t="n"/>
      <c r="L12" s="27" t="n"/>
    </row>
    <row r="13" ht="19.5" customHeight="1">
      <c r="A13" s="28" t="n"/>
      <c r="B13" s="29" t="inlineStr">
        <is>
          <t>웹 1 (HTML5/CSS3)</t>
        </is>
      </c>
      <c r="C13" s="22" t="n"/>
      <c r="D13" s="30" t="n">
        <v>1</v>
      </c>
      <c r="E13" s="31" t="inlineStr">
        <is>
          <t>평일 / 주말</t>
        </is>
      </c>
      <c r="F13" s="32" t="n">
        <v>400000</v>
      </c>
      <c r="G13" s="24" t="n"/>
      <c r="I13" s="25" t="n"/>
      <c r="J13" s="26" t="n"/>
      <c r="K13" s="27" t="n"/>
      <c r="L13" s="27" t="n"/>
    </row>
    <row r="14" ht="19.5" customHeight="1">
      <c r="A14" s="28" t="n"/>
      <c r="B14" s="29" t="inlineStr">
        <is>
          <t>웹 2 (J-query/JS)</t>
        </is>
      </c>
      <c r="C14" s="22" t="n"/>
      <c r="D14" s="30" t="n">
        <v>1</v>
      </c>
      <c r="E14" s="31" t="inlineStr">
        <is>
          <t>평일 / 주말</t>
        </is>
      </c>
      <c r="F14" s="32" t="n">
        <v>400000</v>
      </c>
      <c r="G14" s="24" t="n"/>
      <c r="I14" s="25" t="n"/>
      <c r="J14" s="26" t="n"/>
      <c r="K14" s="27" t="n"/>
      <c r="L14" s="27" t="n"/>
    </row>
    <row r="15" ht="19.5" customHeight="1">
      <c r="A15" s="28" t="n"/>
      <c r="B15" s="29" t="inlineStr">
        <is>
          <t>웹 3 (반응형)</t>
        </is>
      </c>
      <c r="C15" s="22" t="n"/>
      <c r="D15" s="30" t="n">
        <v>1</v>
      </c>
      <c r="E15" s="31" t="inlineStr">
        <is>
          <t>평일 / 주말</t>
        </is>
      </c>
      <c r="F15" s="32" t="n">
        <v>400000</v>
      </c>
      <c r="G15" s="24" t="n"/>
      <c r="I15" s="25" t="n"/>
      <c r="J15" s="26" t="n"/>
      <c r="K15" s="27" t="n"/>
      <c r="L15" s="27" t="n"/>
    </row>
    <row r="16" ht="19.5" customHeight="1">
      <c r="A16" s="28" t="n"/>
      <c r="B16" s="29" t="inlineStr">
        <is>
          <t>UIUX 1 (피그마 기초)</t>
        </is>
      </c>
      <c r="C16" s="22" t="n"/>
      <c r="D16" s="30" t="n">
        <v>1</v>
      </c>
      <c r="E16" s="31" t="inlineStr">
        <is>
          <t>평일 / 주말</t>
        </is>
      </c>
      <c r="F16" s="32" t="n">
        <v>400000</v>
      </c>
      <c r="G16" s="24" t="n"/>
      <c r="I16" s="25" t="n"/>
      <c r="J16" s="26" t="n"/>
      <c r="K16" s="27" t="n"/>
      <c r="L16" s="27" t="n"/>
    </row>
    <row r="17" ht="19.5" customHeight="1">
      <c r="A17" s="28" t="n"/>
      <c r="B17" s="29" t="inlineStr">
        <is>
          <t>UIUX 2 (UX분석)</t>
        </is>
      </c>
      <c r="C17" s="22" t="n"/>
      <c r="D17" s="30" t="n">
        <v>1</v>
      </c>
      <c r="E17" s="31" t="inlineStr">
        <is>
          <t>평일 / 주말</t>
        </is>
      </c>
      <c r="F17" s="32" t="n">
        <v>400000</v>
      </c>
      <c r="G17" s="24" t="n"/>
      <c r="I17" s="25" t="n"/>
      <c r="J17" s="26" t="n"/>
      <c r="K17" s="27" t="n"/>
      <c r="L17" s="27" t="n"/>
    </row>
    <row r="18" ht="19.5" customHeight="1">
      <c r="A18" s="28" t="n"/>
      <c r="B18" s="29" t="inlineStr">
        <is>
          <t>UIUX 3 (UI제작)</t>
        </is>
      </c>
      <c r="C18" s="22" t="n"/>
      <c r="D18" s="30" t="n">
        <v>1</v>
      </c>
      <c r="E18" s="31" t="inlineStr">
        <is>
          <t>평일 / 주말</t>
        </is>
      </c>
      <c r="F18" s="32" t="n">
        <v>400000</v>
      </c>
      <c r="G18" s="24" t="n"/>
      <c r="I18" s="25" t="n"/>
      <c r="J18" s="26" t="n"/>
      <c r="K18" s="27" t="n"/>
      <c r="L18" s="27" t="n"/>
    </row>
    <row r="19" ht="19.5" customHeight="1">
      <c r="A19" s="28" t="n"/>
      <c r="B19" s="29" t="inlineStr">
        <is>
          <t>AI 바이브코딩-웹</t>
        </is>
      </c>
      <c r="C19" s="22" t="n"/>
      <c r="D19" s="30" t="n">
        <v>1</v>
      </c>
      <c r="E19" s="31" t="inlineStr">
        <is>
          <t>평일 / 주말</t>
        </is>
      </c>
      <c r="F19" s="32" t="n">
        <v>500000</v>
      </c>
      <c r="G19" s="24" t="n"/>
      <c r="I19" s="25" t="n"/>
      <c r="J19" s="26" t="n"/>
      <c r="K19" s="27" t="n"/>
      <c r="L19" s="27" t="n"/>
    </row>
    <row r="20" ht="19.5" customHeight="1">
      <c r="A20" s="28" t="n"/>
      <c r="B20" s="29" t="inlineStr">
        <is>
          <t>웹 포트폴리오 1</t>
        </is>
      </c>
      <c r="C20" s="22" t="n"/>
      <c r="D20" s="30" t="n">
        <v>1</v>
      </c>
      <c r="E20" s="31" t="inlineStr">
        <is>
          <t>평일 / 주말</t>
        </is>
      </c>
      <c r="F20" s="32" t="n">
        <v>500000</v>
      </c>
      <c r="G20" s="24" t="n"/>
      <c r="I20" s="25" t="n"/>
      <c r="J20" s="26" t="n"/>
      <c r="K20" s="27" t="n"/>
      <c r="L20" s="27" t="n"/>
    </row>
    <row r="21" ht="19.5" customHeight="1">
      <c r="A21" s="28" t="n"/>
      <c r="B21" s="29" t="inlineStr">
        <is>
          <t>웹 포트폴리오 2</t>
        </is>
      </c>
      <c r="C21" s="22" t="n"/>
      <c r="D21" s="30" t="n">
        <v>1</v>
      </c>
      <c r="E21" s="31" t="inlineStr">
        <is>
          <t>평일 / 주말</t>
        </is>
      </c>
      <c r="F21" s="32" t="n">
        <v>500000</v>
      </c>
      <c r="G21" s="24" t="n"/>
      <c r="I21" s="25" t="n"/>
      <c r="J21" s="26" t="n"/>
      <c r="K21" s="27" t="n"/>
      <c r="L21" s="27" t="n"/>
    </row>
    <row r="22" ht="33.6" customHeight="1">
      <c r="A22" s="33" t="inlineStr">
        <is>
          <t>따즈아</t>
        </is>
      </c>
      <c r="B22" s="34" t="inlineStr">
        <is>
          <t>온라인강의</t>
        </is>
      </c>
      <c r="C22" s="35" t="n">
        <v>0</v>
      </c>
      <c r="D22" s="36">
        <f>SUM(D8:D21)</f>
        <v/>
      </c>
      <c r="E22" s="37" t="inlineStr">
        <is>
          <t>원수강료</t>
        </is>
      </c>
      <c r="F22" s="38">
        <f>SUM(F8:F21)</f>
        <v/>
      </c>
      <c r="G22" s="39" t="n"/>
      <c r="I22" s="40" t="n"/>
      <c r="J22" s="40" t="n"/>
      <c r="K22" s="40" t="n"/>
      <c r="L22" s="40" t="n"/>
    </row>
    <row r="23" ht="19.5" customHeight="1">
      <c r="A23" s="41" t="inlineStr">
        <is>
          <t>■ 교육과정 할인내역</t>
        </is>
      </c>
      <c r="B23" s="42" t="n"/>
      <c r="C23" s="43" t="n"/>
      <c r="D23" s="44" t="n"/>
      <c r="E23" s="44" t="n"/>
      <c r="F23" s="45" t="n"/>
      <c r="G23" s="5" t="n"/>
      <c r="I23" s="40" t="n"/>
      <c r="J23" s="40" t="n"/>
      <c r="K23" s="40" t="n"/>
      <c r="L23" s="40" t="n"/>
    </row>
    <row r="24" ht="19.5" customHeight="1">
      <c r="A24" s="20" t="inlineStr">
        <is>
          <t>세부할인 내역</t>
        </is>
      </c>
      <c r="B24" s="46" t="n"/>
      <c r="C24" s="22" t="n"/>
      <c r="D24" s="21" t="inlineStr">
        <is>
          <t>할인율(%)</t>
        </is>
      </c>
      <c r="E24" s="47" t="inlineStr">
        <is>
          <t>할인금액</t>
        </is>
      </c>
      <c r="F24" s="46" t="n"/>
      <c r="G24" s="24" t="n"/>
    </row>
    <row r="25" ht="19.5" customHeight="1">
      <c r="A25" s="48" t="inlineStr">
        <is>
          <t>할인
내역</t>
        </is>
      </c>
      <c r="B25" s="49" t="inlineStr">
        <is>
          <t>겨울방학 할인</t>
        </is>
      </c>
      <c r="C25" s="46" t="n"/>
      <c r="D25" s="50" t="n">
        <v>0.15</v>
      </c>
      <c r="E25" s="51">
        <f>F22*D25</f>
        <v/>
      </c>
      <c r="F25" s="46" t="n"/>
      <c r="G25" s="24" t="n"/>
    </row>
    <row r="26" ht="19.5" customHeight="1">
      <c r="A26" s="52" t="n"/>
      <c r="B26" s="49" t="inlineStr">
        <is>
          <t>멘토직권 할인</t>
        </is>
      </c>
      <c r="C26" s="46" t="n"/>
      <c r="D26" s="53" t="n">
        <v>0.1</v>
      </c>
      <c r="E26" s="54">
        <f>(F22*(1-D25)*D26)</f>
        <v/>
      </c>
      <c r="F26" s="46" t="n"/>
      <c r="G26" s="24" t="n"/>
    </row>
    <row r="27" ht="19.5" customHeight="1">
      <c r="A27" s="55" t="n"/>
      <c r="B27" s="49" t="inlineStr">
        <is>
          <t>잔여석 지원 할인</t>
        </is>
      </c>
      <c r="C27" s="46" t="n"/>
      <c r="D27" s="56" t="n">
        <v>0.15</v>
      </c>
      <c r="E27" s="51">
        <f>(F22*(1-D25)*(1-D26)*D27)</f>
        <v/>
      </c>
      <c r="F27" s="46" t="n"/>
      <c r="G27" s="24" t="n"/>
      <c r="H27" s="40" t="n"/>
      <c r="I27" s="25" t="n"/>
      <c r="J27" s="26" t="n"/>
      <c r="K27" s="27" t="n"/>
      <c r="L27" s="27" t="n"/>
    </row>
    <row r="28" ht="19.5" customHeight="1">
      <c r="A28" s="57" t="inlineStr">
        <is>
          <t xml:space="preserve">총 할인금액 (수강지원)  </t>
        </is>
      </c>
      <c r="B28" s="46" t="n"/>
      <c r="C28" s="22" t="n"/>
      <c r="D28" s="58">
        <f>ROUNDUP(SUM(E25:G27),-3)</f>
        <v/>
      </c>
      <c r="E28" s="46" t="n"/>
      <c r="F28" s="46" t="n"/>
      <c r="G28" s="24" t="n"/>
      <c r="H28" s="40" t="n"/>
      <c r="I28" s="25" t="n"/>
      <c r="J28" s="26" t="n"/>
      <c r="K28" s="27" t="n"/>
      <c r="L28" s="27" t="n"/>
    </row>
    <row r="29" ht="23.25" customHeight="1">
      <c r="A29" s="59" t="inlineStr">
        <is>
          <t xml:space="preserve">납부 해야할 수강료 (할인적용)  </t>
        </is>
      </c>
      <c r="B29" s="46" t="n"/>
      <c r="C29" s="22" t="n"/>
      <c r="D29" s="60">
        <f>F22-D28</f>
        <v/>
      </c>
      <c r="E29" s="46" t="n"/>
      <c r="F29" s="46" t="n"/>
      <c r="G29" s="24" t="n"/>
      <c r="H29" s="40" t="n"/>
      <c r="I29" s="40" t="n"/>
      <c r="J29" s="40" t="n"/>
      <c r="K29" s="40" t="n"/>
      <c r="L29" s="40" t="n"/>
    </row>
    <row r="30" ht="23.25" customHeight="1">
      <c r="A30" s="59" t="inlineStr">
        <is>
          <t>총 등록금액</t>
        </is>
      </c>
      <c r="B30" s="46" t="n"/>
      <c r="C30" s="22" t="n"/>
      <c r="D30" s="60">
        <f>SUM(D29+C22)</f>
        <v/>
      </c>
      <c r="E30" s="46" t="n"/>
      <c r="F30" s="46" t="n"/>
      <c r="G30" s="24" t="n"/>
      <c r="H30" s="40" t="n"/>
    </row>
    <row r="31" ht="23.25" customHeight="1">
      <c r="A31" s="59" t="inlineStr">
        <is>
          <t>3개월 할부 진행시</t>
        </is>
      </c>
      <c r="B31" s="46" t="n"/>
      <c r="C31" s="22" t="n"/>
      <c r="D31" s="61">
        <f>SUM(D30/3)</f>
        <v/>
      </c>
      <c r="E31" s="46" t="n"/>
      <c r="F31" s="46" t="n"/>
      <c r="G31" s="24" t="n"/>
      <c r="H31" s="40" t="n"/>
    </row>
    <row r="32" ht="23.25" customHeight="1">
      <c r="A32" s="59" t="inlineStr">
        <is>
          <t>6개월 할부 진행시</t>
        </is>
      </c>
      <c r="B32" s="46" t="n"/>
      <c r="C32" s="22" t="n"/>
      <c r="D32" s="61">
        <f>SUM(D30/6)</f>
        <v/>
      </c>
      <c r="E32" s="46" t="n"/>
      <c r="F32" s="46" t="n"/>
      <c r="G32" s="24" t="n"/>
      <c r="H32" s="40" t="n"/>
    </row>
    <row r="33" ht="23.25" customHeight="1">
      <c r="A33" s="59" t="inlineStr">
        <is>
          <t>1과목당 수강료</t>
        </is>
      </c>
      <c r="B33" s="46" t="n"/>
      <c r="C33" s="22" t="n"/>
      <c r="D33" s="61">
        <f>SUM(D29/D22)</f>
        <v/>
      </c>
      <c r="E33" s="46" t="n"/>
      <c r="F33" s="46" t="n"/>
      <c r="G33" s="24" t="n"/>
      <c r="H33" s="40" t="n"/>
    </row>
    <row r="34" ht="16.5" customHeight="1">
      <c r="A34" s="62" t="n"/>
      <c r="B34" s="63" t="n"/>
      <c r="G34" s="64" t="n"/>
      <c r="I34" s="65" t="n"/>
      <c r="J34" s="40" t="n"/>
      <c r="K34" s="40" t="n"/>
      <c r="L34" s="40" t="n"/>
    </row>
    <row r="35" ht="16.5" customHeight="1">
      <c r="A35" s="66" t="inlineStr">
        <is>
          <t>■ 안내사항</t>
        </is>
      </c>
      <c r="B35" s="63" t="n"/>
      <c r="C35" s="63" t="n"/>
      <c r="D35" s="63" t="n"/>
      <c r="E35" s="63" t="n"/>
      <c r="F35" s="63" t="n"/>
      <c r="G35" s="64" t="n"/>
      <c r="I35" s="65" t="n"/>
      <c r="J35" s="40" t="n"/>
      <c r="K35" s="40" t="n"/>
      <c r="L35" s="40" t="n"/>
    </row>
    <row r="36" ht="16.5" customHeight="1">
      <c r="A36" s="62" t="inlineStr">
        <is>
          <t xml:space="preserve">   1) 위 수강료는 학원내 게시되어 있는 수강료 기준이며, 교육청에 신고된 금액입니다.</t>
        </is>
      </c>
      <c r="B36" s="63" t="n"/>
      <c r="C36" s="63" t="n"/>
      <c r="D36" s="63" t="n"/>
      <c r="E36" s="63" t="n"/>
      <c r="F36" s="63" t="n"/>
      <c r="G36" s="64" t="n"/>
      <c r="I36" s="40" t="n"/>
      <c r="J36" s="40" t="n"/>
      <c r="K36" s="40" t="n"/>
      <c r="L36" s="40" t="n"/>
    </row>
    <row r="37" ht="16.5" customHeight="1">
      <c r="A37" s="62" t="inlineStr">
        <is>
          <t xml:space="preserve">   2) 위 할인내역은 해당사항에 한해 적용되며, 할인내용에 해당될 시 증명서류를 증빙해야 할인 받을 수 있습니다.</t>
        </is>
      </c>
      <c r="B37" s="63" t="n"/>
      <c r="C37" s="63" t="n"/>
      <c r="D37" s="63" t="n"/>
      <c r="E37" s="63" t="n"/>
      <c r="F37" s="63" t="n"/>
      <c r="G37" s="64" t="n"/>
      <c r="I37" s="40" t="n"/>
      <c r="J37" s="40" t="n"/>
      <c r="K37" s="40" t="n"/>
      <c r="L37" s="40" t="n"/>
    </row>
    <row r="38" ht="16.5" customHeight="1">
      <c r="A38" s="62" t="inlineStr">
        <is>
          <t xml:space="preserve">   3) 할인금액은 수강과목지원(무료)으로 진행됩니다.</t>
        </is>
      </c>
      <c r="B38" s="44" t="n"/>
      <c r="C38" s="44" t="n"/>
      <c r="D38" s="67" t="n"/>
      <c r="E38" s="67" t="n"/>
      <c r="F38" s="68" t="n"/>
      <c r="G38" s="69" t="n"/>
    </row>
    <row r="39" ht="16.5" customHeight="1">
      <c r="A39" s="62" t="n"/>
      <c r="B39" s="44" t="n"/>
      <c r="C39" s="44" t="n"/>
      <c r="D39" s="67" t="n"/>
      <c r="E39" s="67" t="n"/>
      <c r="F39" s="68" t="n"/>
      <c r="G39" s="69" t="n"/>
    </row>
    <row r="40" ht="16.5" customHeight="1">
      <c r="A40" s="66" t="inlineStr">
        <is>
          <t>■ 수강료 납부 안내</t>
        </is>
      </c>
      <c r="B40" s="70" t="n"/>
      <c r="C40" s="70" t="n"/>
      <c r="D40" s="71" t="n"/>
      <c r="E40" s="71" t="n"/>
      <c r="F40" s="71" t="n"/>
      <c r="G40" s="72" t="n"/>
    </row>
    <row r="41" ht="16.5" customHeight="1">
      <c r="A41" s="62" t="inlineStr">
        <is>
          <t xml:space="preserve">    1) 현금수납 - 학원 안내접수처에서 접수 및 결제(현금영수증 발행)</t>
        </is>
      </c>
      <c r="B41" s="73" t="n"/>
      <c r="C41" s="73" t="n"/>
      <c r="D41" s="71" t="n"/>
      <c r="E41" s="71" t="n"/>
      <c r="F41" s="71" t="n"/>
      <c r="G41" s="72" t="n"/>
    </row>
    <row r="42" ht="16.5" customHeight="1">
      <c r="A42" s="62" t="inlineStr">
        <is>
          <t xml:space="preserve">    2) 온라인입금(계좌이체) 결제(현금영수증 발행)</t>
        </is>
      </c>
      <c r="B42" s="73" t="n"/>
      <c r="C42" s="73" t="n"/>
      <c r="D42" s="71" t="n"/>
      <c r="E42" s="71" t="n"/>
      <c r="F42" s="71" t="n"/>
      <c r="G42" s="72" t="n"/>
    </row>
    <row r="43" ht="16.5" customHeight="1">
      <c r="A43" s="66" t="n"/>
      <c r="B43" s="74" t="n"/>
      <c r="C43" s="74" t="n"/>
      <c r="D43" s="71" t="n"/>
      <c r="E43" s="71" t="n"/>
      <c r="F43" s="71" t="n"/>
      <c r="G43" s="72" t="n"/>
    </row>
    <row r="44" ht="16.5" customHeight="1">
      <c r="A44" s="62" t="inlineStr">
        <is>
          <t xml:space="preserve">    3) 카드수납 - 학원 안내접수처에서 접수 및 결제 or 카드번호 결제(키인결제)</t>
        </is>
      </c>
      <c r="B44" s="75" t="n"/>
      <c r="C44" s="75" t="n"/>
      <c r="D44" s="71" t="n"/>
      <c r="E44" s="71" t="n"/>
      <c r="F44" s="71" t="n"/>
      <c r="G44" s="72" t="n"/>
    </row>
    <row r="45" ht="16.5" customHeight="1">
      <c r="A45" s="62" t="inlineStr">
        <is>
          <t xml:space="preserve">                     - 학원 홈페이지(모바일, PC) 결제 &gt; 담당멘토 문의</t>
        </is>
      </c>
      <c r="B45" s="75" t="n"/>
      <c r="C45" s="75" t="n"/>
      <c r="D45" s="71" t="n"/>
      <c r="E45" s="71" t="n"/>
      <c r="F45" s="71" t="n"/>
      <c r="G45" s="72" t="n"/>
    </row>
    <row r="46" ht="16.5" customHeight="1">
      <c r="A46" s="62" t="inlineStr">
        <is>
          <t xml:space="preserve">      * 카드사별 무이자 할부 혜택 상이함</t>
        </is>
      </c>
      <c r="B46" s="76" t="n"/>
      <c r="C46" s="76" t="n"/>
      <c r="D46" s="71" t="n"/>
      <c r="E46" s="71" t="n"/>
      <c r="F46" s="71" t="n"/>
      <c r="G46" s="72" t="n"/>
    </row>
  </sheetData>
  <mergeCells count="55">
    <mergeCell ref="F4:G4"/>
    <mergeCell ref="F11:G11"/>
    <mergeCell ref="B16:C16"/>
    <mergeCell ref="B7:C7"/>
    <mergeCell ref="B25:C25"/>
    <mergeCell ref="F10:G10"/>
    <mergeCell ref="F16:G16"/>
    <mergeCell ref="F19:G19"/>
    <mergeCell ref="D30:G30"/>
    <mergeCell ref="D33:G33"/>
    <mergeCell ref="D29:G29"/>
    <mergeCell ref="B18:C18"/>
    <mergeCell ref="B27:C27"/>
    <mergeCell ref="F7:G7"/>
    <mergeCell ref="B12:C12"/>
    <mergeCell ref="F21:G21"/>
    <mergeCell ref="B21:C21"/>
    <mergeCell ref="F12:G12"/>
    <mergeCell ref="A33:C33"/>
    <mergeCell ref="B11:C11"/>
    <mergeCell ref="F15:G15"/>
    <mergeCell ref="E27:G27"/>
    <mergeCell ref="A32:C32"/>
    <mergeCell ref="F20:G20"/>
    <mergeCell ref="F18:G18"/>
    <mergeCell ref="E26:G26"/>
    <mergeCell ref="B14:C14"/>
    <mergeCell ref="B17:C17"/>
    <mergeCell ref="A29:C29"/>
    <mergeCell ref="B8:C8"/>
    <mergeCell ref="F17:G17"/>
    <mergeCell ref="E25:G25"/>
    <mergeCell ref="F8:G8"/>
    <mergeCell ref="B13:C13"/>
    <mergeCell ref="A28:C28"/>
    <mergeCell ref="A1:G3"/>
    <mergeCell ref="D31:G31"/>
    <mergeCell ref="B19:C19"/>
    <mergeCell ref="A31:C31"/>
    <mergeCell ref="B10:C10"/>
    <mergeCell ref="F23:G23"/>
    <mergeCell ref="F22:G22"/>
    <mergeCell ref="A30:C30"/>
    <mergeCell ref="F13:G13"/>
    <mergeCell ref="B9:C9"/>
    <mergeCell ref="A24:C24"/>
    <mergeCell ref="F9:G9"/>
    <mergeCell ref="D32:G32"/>
    <mergeCell ref="E24:G24"/>
    <mergeCell ref="B15:C15"/>
    <mergeCell ref="B20:C20"/>
    <mergeCell ref="A25:A27"/>
    <mergeCell ref="F14:G14"/>
    <mergeCell ref="B26:C26"/>
    <mergeCell ref="D28:G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8.88671875" customWidth="1" min="1" max="1"/>
    <col width="29.21875" customWidth="1" min="2" max="2"/>
    <col width="14.5546875" customWidth="1" min="3" max="3"/>
    <col width="11.6640625" customWidth="1" min="4" max="4"/>
    <col width="10.77734375" customWidth="1" min="5" max="5"/>
    <col width="8.109375" customWidth="1" min="6" max="6"/>
    <col width="10.5546875" customWidth="1" min="7" max="7"/>
    <col width="5.6640625" customWidth="1" min="8" max="8"/>
    <col width="21.6640625" customWidth="1" min="9" max="9"/>
    <col width="19.44140625" customWidth="1" min="10" max="10"/>
    <col width="20" customWidth="1" min="11" max="11"/>
    <col width="19.44140625" customWidth="1" min="12" max="12"/>
    <col width="8.88671875" customWidth="1" min="13" max="13"/>
  </cols>
  <sheetData>
    <row r="1" ht="13.5" customHeight="1">
      <c r="A1" s="1" t="inlineStr">
        <is>
          <t>시각편집디자인 교육과정 수강료 안내</t>
        </is>
      </c>
      <c r="B1" s="2" t="n"/>
      <c r="C1" s="2" t="n"/>
      <c r="D1" s="2" t="n"/>
      <c r="E1" s="2" t="n"/>
      <c r="F1" s="2" t="n"/>
      <c r="G1" s="3" t="n"/>
    </row>
    <row r="2" ht="13.5" customHeight="1">
      <c r="A2" s="4" t="n"/>
      <c r="G2" s="5" t="n"/>
    </row>
    <row r="3" ht="13.5" customHeight="1">
      <c r="A3" s="4" t="n"/>
      <c r="G3" s="5" t="n"/>
    </row>
    <row r="4" ht="27" customHeight="1">
      <c r="A4" s="6" t="n"/>
      <c r="B4" s="7" t="n"/>
      <c r="C4" s="8" t="n"/>
      <c r="D4" s="9" t="n"/>
      <c r="E4" s="10" t="n"/>
      <c r="F4" s="11" t="n"/>
      <c r="G4" s="5" t="n"/>
    </row>
    <row r="5" ht="27" customHeight="1">
      <c r="A5" s="6" t="n"/>
      <c r="B5" s="7" t="n"/>
      <c r="C5" s="12" t="inlineStr">
        <is>
          <t xml:space="preserve">상 담 일 자 : </t>
        </is>
      </c>
      <c r="D5" s="13">
        <f>TODAY()</f>
        <v/>
      </c>
      <c r="E5" s="14" t="inlineStr">
        <is>
          <t xml:space="preserve">상 담 자 : </t>
        </is>
      </c>
      <c r="F5" s="15" t="inlineStr">
        <is>
          <t>안재현 교육멘토</t>
        </is>
      </c>
      <c r="G5" s="16" t="n"/>
    </row>
    <row r="6" ht="19.5" customHeight="1">
      <c r="A6" s="17" t="inlineStr">
        <is>
          <t xml:space="preserve">■  과정 및 수강료                              </t>
        </is>
      </c>
      <c r="B6" s="15" t="n"/>
      <c r="C6" s="8" t="n"/>
      <c r="D6" s="18" t="n"/>
      <c r="E6" s="12" t="inlineStr">
        <is>
          <t xml:space="preserve">연 락 처 : </t>
        </is>
      </c>
      <c r="F6" s="15" t="inlineStr">
        <is>
          <t>042-710-8921</t>
        </is>
      </c>
      <c r="G6" s="19" t="n"/>
    </row>
    <row r="7" ht="19.5" customHeight="1">
      <c r="A7" s="20" t="inlineStr">
        <is>
          <t>과 정</t>
        </is>
      </c>
      <c r="B7" s="21" t="inlineStr">
        <is>
          <t>과목명</t>
        </is>
      </c>
      <c r="C7" s="22" t="n"/>
      <c r="D7" s="21" t="inlineStr">
        <is>
          <t>COURSE</t>
        </is>
      </c>
      <c r="E7" s="21" t="inlineStr">
        <is>
          <t>DAY</t>
        </is>
      </c>
      <c r="F7" s="23" t="inlineStr">
        <is>
          <t>수강료</t>
        </is>
      </c>
      <c r="G7" s="24" t="n"/>
      <c r="I7" s="25" t="n"/>
      <c r="J7" s="26" t="n"/>
      <c r="K7" s="27" t="n"/>
      <c r="L7" s="27" t="n"/>
    </row>
    <row r="8" ht="19.5" customHeight="1">
      <c r="A8" s="28" t="n"/>
      <c r="B8" s="29" t="inlineStr">
        <is>
          <t>발상과표현</t>
        </is>
      </c>
      <c r="C8" s="22" t="n"/>
      <c r="D8" s="30" t="n">
        <v>1</v>
      </c>
      <c r="E8" s="31" t="inlineStr">
        <is>
          <t>평일 / 주말</t>
        </is>
      </c>
      <c r="F8" s="32" t="n">
        <v>400000</v>
      </c>
      <c r="G8" s="24" t="n"/>
      <c r="I8" s="25" t="n"/>
      <c r="J8" s="26" t="n"/>
      <c r="K8" s="27" t="n"/>
      <c r="L8" s="27" t="n"/>
    </row>
    <row r="9" ht="19.5" customHeight="1">
      <c r="A9" s="28" t="n"/>
      <c r="B9" s="29" t="inlineStr">
        <is>
          <t>색채학</t>
        </is>
      </c>
      <c r="C9" s="22" t="n"/>
      <c r="D9" s="30" t="n">
        <v>1</v>
      </c>
      <c r="E9" s="31" t="inlineStr">
        <is>
          <t>평일 / 주말</t>
        </is>
      </c>
      <c r="F9" s="32" t="n">
        <v>400000</v>
      </c>
      <c r="G9" s="24" t="n"/>
      <c r="I9" s="25" t="n"/>
      <c r="J9" s="26" t="n"/>
      <c r="K9" s="27" t="n"/>
      <c r="L9" s="27" t="n"/>
    </row>
    <row r="10" ht="19.5" customHeight="1">
      <c r="A10" s="28" t="n"/>
      <c r="B10" s="29" t="inlineStr">
        <is>
          <t>포토샵, 일러스트</t>
        </is>
      </c>
      <c r="C10" s="22" t="n"/>
      <c r="D10" s="30" t="n">
        <v>1</v>
      </c>
      <c r="E10" s="31" t="inlineStr">
        <is>
          <t>평일 / 주말</t>
        </is>
      </c>
      <c r="F10" s="32" t="n">
        <v>350000</v>
      </c>
      <c r="G10" s="24" t="n"/>
      <c r="I10" s="25" t="n"/>
      <c r="J10" s="26" t="n"/>
      <c r="K10" s="27" t="n"/>
      <c r="L10" s="27" t="n"/>
    </row>
    <row r="11" ht="19.5" customHeight="1">
      <c r="A11" s="28" t="n"/>
      <c r="B11" s="29" t="inlineStr">
        <is>
          <t>포토웍스, 디일러</t>
        </is>
      </c>
      <c r="C11" s="22" t="n"/>
      <c r="D11" s="30" t="n">
        <v>1</v>
      </c>
      <c r="E11" s="31" t="inlineStr">
        <is>
          <t>평일 / 주말</t>
        </is>
      </c>
      <c r="F11" s="32" t="n">
        <v>400000</v>
      </c>
      <c r="G11" s="24" t="n"/>
      <c r="I11" s="25" t="n"/>
      <c r="J11" s="26" t="n"/>
      <c r="K11" s="27" t="n"/>
      <c r="L11" s="27" t="n"/>
    </row>
    <row r="12" ht="19.5" customHeight="1">
      <c r="A12" s="28" t="n"/>
      <c r="B12" s="29" t="inlineStr">
        <is>
          <t>인포그래픽</t>
        </is>
      </c>
      <c r="C12" s="22" t="n"/>
      <c r="D12" s="30" t="n">
        <v>1</v>
      </c>
      <c r="E12" s="31" t="inlineStr">
        <is>
          <t>평일 / 주말</t>
        </is>
      </c>
      <c r="F12" s="32" t="n">
        <v>400000</v>
      </c>
      <c r="G12" s="24" t="n"/>
      <c r="I12" s="25" t="n"/>
      <c r="J12" s="26" t="n"/>
      <c r="K12" s="27" t="n"/>
      <c r="L12" s="27" t="n"/>
    </row>
    <row r="13" ht="19.5" customHeight="1">
      <c r="A13" s="28" t="n"/>
      <c r="B13" s="29" t="inlineStr">
        <is>
          <t>인디자인</t>
        </is>
      </c>
      <c r="C13" s="22" t="n"/>
      <c r="D13" s="30" t="n">
        <v>1</v>
      </c>
      <c r="E13" s="31" t="inlineStr">
        <is>
          <t>평일 / 주말</t>
        </is>
      </c>
      <c r="F13" s="32" t="n">
        <v>350000</v>
      </c>
      <c r="G13" s="24" t="n"/>
      <c r="I13" s="25" t="n"/>
      <c r="J13" s="26" t="n"/>
      <c r="K13" s="27" t="n"/>
      <c r="L13" s="27" t="n"/>
    </row>
    <row r="14" ht="19.5" customHeight="1">
      <c r="A14" s="28" t="n"/>
      <c r="B14" s="29" t="inlineStr">
        <is>
          <t>그래픽아트웍</t>
        </is>
      </c>
      <c r="C14" s="22" t="n"/>
      <c r="D14" s="30" t="n">
        <v>1</v>
      </c>
      <c r="E14" s="31" t="inlineStr">
        <is>
          <t>평일 / 주말</t>
        </is>
      </c>
      <c r="F14" s="32" t="n">
        <v>400000</v>
      </c>
      <c r="G14" s="24" t="n"/>
      <c r="I14" s="25" t="n"/>
      <c r="J14" s="26" t="n"/>
      <c r="K14" s="27" t="n"/>
      <c r="L14" s="27" t="n"/>
    </row>
    <row r="15" ht="19.5" customHeight="1">
      <c r="A15" s="28" t="n"/>
      <c r="B15" s="29" t="inlineStr">
        <is>
          <t>AI 크리에이터-시각편집</t>
        </is>
      </c>
      <c r="C15" s="22" t="n"/>
      <c r="D15" s="30" t="n">
        <v>1</v>
      </c>
      <c r="E15" s="31" t="inlineStr">
        <is>
          <t>평일 / 주말</t>
        </is>
      </c>
      <c r="F15" s="32" t="n">
        <v>500000</v>
      </c>
      <c r="G15" s="24" t="n"/>
      <c r="I15" s="25" t="n"/>
      <c r="J15" s="26" t="n"/>
      <c r="K15" s="27" t="n"/>
      <c r="L15" s="27" t="n"/>
    </row>
    <row r="16" ht="19.5" customHeight="1">
      <c r="A16" s="28" t="n"/>
      <c r="B16" s="29" t="inlineStr">
        <is>
          <t>편집 포트폴리오 1</t>
        </is>
      </c>
      <c r="C16" s="22" t="n"/>
      <c r="D16" s="30" t="n">
        <v>1</v>
      </c>
      <c r="E16" s="31" t="inlineStr">
        <is>
          <t>평일 / 주말</t>
        </is>
      </c>
      <c r="F16" s="32" t="n">
        <v>500000</v>
      </c>
      <c r="G16" s="24" t="n"/>
      <c r="I16" s="25" t="n"/>
      <c r="J16" s="26" t="n"/>
      <c r="K16" s="27" t="n"/>
      <c r="L16" s="27" t="n"/>
    </row>
    <row r="17" ht="19.5" customHeight="1">
      <c r="A17" s="28" t="n"/>
      <c r="B17" s="29" t="inlineStr">
        <is>
          <t>편집 포트폴리오 2</t>
        </is>
      </c>
      <c r="C17" s="22" t="n"/>
      <c r="D17" s="30" t="n">
        <v>1</v>
      </c>
      <c r="E17" s="31" t="inlineStr">
        <is>
          <t>평일 / 주말</t>
        </is>
      </c>
      <c r="F17" s="32" t="n">
        <v>500000</v>
      </c>
      <c r="G17" s="24" t="n"/>
      <c r="I17" s="25" t="n"/>
      <c r="J17" s="26" t="n"/>
      <c r="K17" s="27" t="n"/>
      <c r="L17" s="27" t="n"/>
    </row>
    <row r="18" ht="33.6" customHeight="1">
      <c r="A18" s="33" t="inlineStr">
        <is>
          <t>따즈아</t>
        </is>
      </c>
      <c r="B18" s="34" t="inlineStr">
        <is>
          <t>온라인강의</t>
        </is>
      </c>
      <c r="C18" s="35" t="n">
        <v>0</v>
      </c>
      <c r="D18" s="36">
        <f>SUM(D8:D17)</f>
        <v/>
      </c>
      <c r="E18" s="37" t="inlineStr">
        <is>
          <t>원수강료</t>
        </is>
      </c>
      <c r="F18" s="38">
        <f>SUM(F8:F17)</f>
        <v/>
      </c>
      <c r="G18" s="39" t="n"/>
      <c r="I18" s="40" t="n"/>
      <c r="J18" s="40" t="n"/>
      <c r="K18" s="40" t="n"/>
      <c r="L18" s="40" t="n"/>
    </row>
    <row r="19" ht="19.5" customHeight="1">
      <c r="A19" s="41" t="inlineStr">
        <is>
          <t>■ 교육과정 할인내역</t>
        </is>
      </c>
      <c r="B19" s="42" t="n"/>
      <c r="C19" s="43" t="n"/>
      <c r="D19" s="44" t="n"/>
      <c r="E19" s="44" t="n"/>
      <c r="F19" s="45" t="n"/>
      <c r="G19" s="5" t="n"/>
      <c r="I19" s="40" t="n"/>
      <c r="J19" s="40" t="n"/>
      <c r="K19" s="40" t="n"/>
      <c r="L19" s="40" t="n"/>
    </row>
    <row r="20" ht="19.5" customHeight="1">
      <c r="A20" s="20" t="inlineStr">
        <is>
          <t>세부할인 내역</t>
        </is>
      </c>
      <c r="B20" s="46" t="n"/>
      <c r="C20" s="22" t="n"/>
      <c r="D20" s="21" t="inlineStr">
        <is>
          <t>할인율(%)</t>
        </is>
      </c>
      <c r="E20" s="47" t="inlineStr">
        <is>
          <t>할인금액</t>
        </is>
      </c>
      <c r="F20" s="46" t="n"/>
      <c r="G20" s="24" t="n"/>
    </row>
    <row r="21" ht="19.5" customHeight="1">
      <c r="A21" s="48" t="inlineStr">
        <is>
          <t>할인
내역</t>
        </is>
      </c>
      <c r="B21" s="49" t="inlineStr">
        <is>
          <t>겨울방학 할인</t>
        </is>
      </c>
      <c r="C21" s="46" t="n"/>
      <c r="D21" s="50" t="n">
        <v>0.15</v>
      </c>
      <c r="E21" s="51">
        <f>F18*D21</f>
        <v/>
      </c>
      <c r="F21" s="46" t="n"/>
      <c r="G21" s="24" t="n"/>
    </row>
    <row r="22" ht="19.5" customHeight="1">
      <c r="A22" s="52" t="n"/>
      <c r="B22" s="49" t="inlineStr">
        <is>
          <t>멘토직권 할인</t>
        </is>
      </c>
      <c r="C22" s="46" t="n"/>
      <c r="D22" s="53" t="n">
        <v>0.1</v>
      </c>
      <c r="E22" s="54">
        <f>(F18*(1-D21)*D22)</f>
        <v/>
      </c>
      <c r="F22" s="46" t="n"/>
      <c r="G22" s="24" t="n"/>
    </row>
    <row r="23" ht="19.5" customHeight="1">
      <c r="A23" s="55" t="n"/>
      <c r="B23" s="49" t="inlineStr">
        <is>
          <t>잔여석 지원 할인</t>
        </is>
      </c>
      <c r="C23" s="46" t="n"/>
      <c r="D23" s="56" t="n">
        <v>0.15</v>
      </c>
      <c r="E23" s="51">
        <f>(F18*(1-D21)*(1-D22)*D23)</f>
        <v/>
      </c>
      <c r="F23" s="46" t="n"/>
      <c r="G23" s="24" t="n"/>
      <c r="H23" s="40" t="n"/>
      <c r="I23" s="25" t="n"/>
      <c r="J23" s="26" t="n"/>
      <c r="K23" s="27" t="n"/>
      <c r="L23" s="27" t="n"/>
    </row>
    <row r="24" ht="19.5" customHeight="1">
      <c r="A24" s="57" t="inlineStr">
        <is>
          <t xml:space="preserve">총 할인금액 (수강지원)  </t>
        </is>
      </c>
      <c r="B24" s="46" t="n"/>
      <c r="C24" s="22" t="n"/>
      <c r="D24" s="58">
        <f>ROUNDUP(SUM(E21:G23),-3)</f>
        <v/>
      </c>
      <c r="E24" s="46" t="n"/>
      <c r="F24" s="46" t="n"/>
      <c r="G24" s="24" t="n"/>
      <c r="H24" s="40" t="n"/>
      <c r="I24" s="25" t="n"/>
      <c r="J24" s="26" t="n"/>
      <c r="K24" s="27" t="n"/>
      <c r="L24" s="27" t="n"/>
    </row>
    <row r="25" ht="23.25" customHeight="1">
      <c r="A25" s="59" t="inlineStr">
        <is>
          <t xml:space="preserve">납부 해야할 수강료 (할인적용)  </t>
        </is>
      </c>
      <c r="B25" s="46" t="n"/>
      <c r="C25" s="22" t="n"/>
      <c r="D25" s="60">
        <f>F18-D24</f>
        <v/>
      </c>
      <c r="E25" s="46" t="n"/>
      <c r="F25" s="46" t="n"/>
      <c r="G25" s="24" t="n"/>
      <c r="H25" s="40" t="n"/>
      <c r="I25" s="40" t="n"/>
      <c r="J25" s="40" t="n"/>
      <c r="K25" s="40" t="n"/>
      <c r="L25" s="40" t="n"/>
    </row>
    <row r="26" ht="23.25" customHeight="1">
      <c r="A26" s="59" t="inlineStr">
        <is>
          <t>총 등록금액</t>
        </is>
      </c>
      <c r="B26" s="46" t="n"/>
      <c r="C26" s="22" t="n"/>
      <c r="D26" s="60">
        <f>SUM(D25+C18)</f>
        <v/>
      </c>
      <c r="E26" s="46" t="n"/>
      <c r="F26" s="46" t="n"/>
      <c r="G26" s="24" t="n"/>
      <c r="H26" s="40" t="n"/>
    </row>
    <row r="27" ht="23.25" customHeight="1">
      <c r="A27" s="59" t="inlineStr">
        <is>
          <t>3개월 할부 진행시</t>
        </is>
      </c>
      <c r="B27" s="46" t="n"/>
      <c r="C27" s="22" t="n"/>
      <c r="D27" s="61">
        <f>SUM(D26/3)</f>
        <v/>
      </c>
      <c r="E27" s="46" t="n"/>
      <c r="F27" s="46" t="n"/>
      <c r="G27" s="24" t="n"/>
      <c r="H27" s="40" t="n"/>
    </row>
    <row r="28" ht="23.25" customHeight="1">
      <c r="A28" s="59" t="inlineStr">
        <is>
          <t>6개월 할부 진행시</t>
        </is>
      </c>
      <c r="B28" s="46" t="n"/>
      <c r="C28" s="22" t="n"/>
      <c r="D28" s="61">
        <f>SUM(D26/6)</f>
        <v/>
      </c>
      <c r="E28" s="46" t="n"/>
      <c r="F28" s="46" t="n"/>
      <c r="G28" s="24" t="n"/>
      <c r="H28" s="40" t="n"/>
    </row>
    <row r="29" ht="23.25" customHeight="1">
      <c r="A29" s="59" t="inlineStr">
        <is>
          <t>1과목당 수강료</t>
        </is>
      </c>
      <c r="B29" s="46" t="n"/>
      <c r="C29" s="22" t="n"/>
      <c r="D29" s="61">
        <f>SUM(D25/D18)</f>
        <v/>
      </c>
      <c r="E29" s="46" t="n"/>
      <c r="F29" s="46" t="n"/>
      <c r="G29" s="24" t="n"/>
      <c r="H29" s="40" t="n"/>
    </row>
    <row r="30" ht="16.5" customHeight="1">
      <c r="A30" s="62" t="n"/>
      <c r="B30" s="63" t="n"/>
      <c r="G30" s="64" t="n"/>
      <c r="I30" s="65" t="n"/>
      <c r="J30" s="40" t="n"/>
      <c r="K30" s="40" t="n"/>
      <c r="L30" s="40" t="n"/>
    </row>
    <row r="31" ht="16.5" customHeight="1">
      <c r="A31" s="66" t="inlineStr">
        <is>
          <t>■ 안내사항</t>
        </is>
      </c>
      <c r="B31" s="63" t="n"/>
      <c r="C31" s="63" t="n"/>
      <c r="D31" s="63" t="n"/>
      <c r="E31" s="63" t="n"/>
      <c r="F31" s="63" t="n"/>
      <c r="G31" s="64" t="n"/>
      <c r="I31" s="65" t="n"/>
      <c r="J31" s="40" t="n"/>
      <c r="K31" s="40" t="n"/>
      <c r="L31" s="40" t="n"/>
    </row>
    <row r="32" ht="16.5" customHeight="1">
      <c r="A32" s="62" t="inlineStr">
        <is>
          <t xml:space="preserve">   1) 위 수강료는 학원내 게시되어 있는 수강료 기준이며, 교육청에 신고된 금액입니다.</t>
        </is>
      </c>
      <c r="B32" s="63" t="n"/>
      <c r="C32" s="63" t="n"/>
      <c r="D32" s="63" t="n"/>
      <c r="E32" s="63" t="n"/>
      <c r="F32" s="63" t="n"/>
      <c r="G32" s="64" t="n"/>
      <c r="I32" s="40" t="n"/>
      <c r="J32" s="40" t="n"/>
      <c r="K32" s="40" t="n"/>
      <c r="L32" s="40" t="n"/>
    </row>
    <row r="33" ht="16.5" customHeight="1">
      <c r="A33" s="62" t="inlineStr">
        <is>
          <t xml:space="preserve">   2) 위 할인내역은 해당사항에 한해 적용되며, 할인내용에 해당될 시 증명서류를 증빙해야 할인 받을 수 있습니다.</t>
        </is>
      </c>
      <c r="B33" s="63" t="n"/>
      <c r="C33" s="63" t="n"/>
      <c r="D33" s="63" t="n"/>
      <c r="E33" s="63" t="n"/>
      <c r="F33" s="63" t="n"/>
      <c r="G33" s="64" t="n"/>
      <c r="I33" s="40" t="n"/>
      <c r="J33" s="40" t="n"/>
      <c r="K33" s="40" t="n"/>
      <c r="L33" s="40" t="n"/>
    </row>
    <row r="34" ht="16.5" customHeight="1">
      <c r="A34" s="62" t="inlineStr">
        <is>
          <t xml:space="preserve">   3) 할인금액은 수강과목지원(무료)으로 진행됩니다.</t>
        </is>
      </c>
      <c r="B34" s="44" t="n"/>
      <c r="C34" s="44" t="n"/>
      <c r="D34" s="67" t="n"/>
      <c r="E34" s="67" t="n"/>
      <c r="F34" s="68" t="n"/>
      <c r="G34" s="69" t="n"/>
    </row>
    <row r="35" ht="16.5" customHeight="1">
      <c r="A35" s="62" t="n"/>
      <c r="B35" s="44" t="n"/>
      <c r="C35" s="44" t="n"/>
      <c r="D35" s="67" t="n"/>
      <c r="E35" s="67" t="n"/>
      <c r="F35" s="68" t="n"/>
      <c r="G35" s="69" t="n"/>
    </row>
    <row r="36" ht="16.5" customHeight="1">
      <c r="A36" s="66" t="inlineStr">
        <is>
          <t>■ 수강료 납부 안내</t>
        </is>
      </c>
      <c r="B36" s="70" t="n"/>
      <c r="C36" s="70" t="n"/>
      <c r="D36" s="71" t="n"/>
      <c r="E36" s="71" t="n"/>
      <c r="F36" s="71" t="n"/>
      <c r="G36" s="72" t="n"/>
    </row>
    <row r="37" ht="16.5" customHeight="1">
      <c r="A37" s="62" t="inlineStr">
        <is>
          <t xml:space="preserve">    1) 현금수납 - 학원 안내접수처에서 접수 및 결제(현금영수증 발행)</t>
        </is>
      </c>
      <c r="B37" s="73" t="n"/>
      <c r="C37" s="73" t="n"/>
      <c r="D37" s="71" t="n"/>
      <c r="E37" s="71" t="n"/>
      <c r="F37" s="71" t="n"/>
      <c r="G37" s="72" t="n"/>
    </row>
    <row r="38" ht="16.5" customHeight="1">
      <c r="A38" s="62" t="inlineStr">
        <is>
          <t xml:space="preserve">    2) 온라인입금(계좌이체) 결제(현금영수증 발행)</t>
        </is>
      </c>
      <c r="B38" s="73" t="n"/>
      <c r="C38" s="73" t="n"/>
      <c r="D38" s="71" t="n"/>
      <c r="E38" s="71" t="n"/>
      <c r="F38" s="71" t="n"/>
      <c r="G38" s="72" t="n"/>
    </row>
    <row r="39" ht="16.5" customHeight="1">
      <c r="A39" s="66" t="n"/>
      <c r="B39" s="74" t="n"/>
      <c r="C39" s="74" t="n"/>
      <c r="D39" s="71" t="n"/>
      <c r="E39" s="71" t="n"/>
      <c r="F39" s="71" t="n"/>
      <c r="G39" s="72" t="n"/>
    </row>
    <row r="40" ht="16.5" customHeight="1">
      <c r="A40" s="62" t="inlineStr">
        <is>
          <t xml:space="preserve">    3) 카드수납 - 학원 안내접수처에서 접수 및 결제 or 카드번호 결제(키인결제)</t>
        </is>
      </c>
      <c r="B40" s="75" t="n"/>
      <c r="C40" s="75" t="n"/>
      <c r="D40" s="71" t="n"/>
      <c r="E40" s="71" t="n"/>
      <c r="F40" s="71" t="n"/>
      <c r="G40" s="72" t="n"/>
    </row>
    <row r="41" ht="16.5" customHeight="1">
      <c r="A41" s="62" t="inlineStr">
        <is>
          <t xml:space="preserve">                     - 학원 홈페이지(모바일, PC) 결제 &gt; 담당멘토 문의</t>
        </is>
      </c>
      <c r="B41" s="75" t="n"/>
      <c r="C41" s="75" t="n"/>
      <c r="D41" s="71" t="n"/>
      <c r="E41" s="71" t="n"/>
      <c r="F41" s="71" t="n"/>
      <c r="G41" s="72" t="n"/>
    </row>
    <row r="42" ht="16.5" customHeight="1">
      <c r="A42" s="62" t="inlineStr">
        <is>
          <t xml:space="preserve">      * 카드사별 무이자 할부 혜택 상이함</t>
        </is>
      </c>
      <c r="B42" s="76" t="n"/>
      <c r="C42" s="76" t="n"/>
      <c r="D42" s="71" t="n"/>
      <c r="E42" s="71" t="n"/>
      <c r="F42" s="71" t="n"/>
      <c r="G42" s="72" t="n"/>
    </row>
  </sheetData>
  <mergeCells count="47">
    <mergeCell ref="F4:G4"/>
    <mergeCell ref="A21:A23"/>
    <mergeCell ref="F11:G11"/>
    <mergeCell ref="B16:C16"/>
    <mergeCell ref="A25:C25"/>
    <mergeCell ref="B7:C7"/>
    <mergeCell ref="F10:G10"/>
    <mergeCell ref="F16:G16"/>
    <mergeCell ref="D25:G25"/>
    <mergeCell ref="F19:G19"/>
    <mergeCell ref="D24:G24"/>
    <mergeCell ref="B22:C22"/>
    <mergeCell ref="A27:C27"/>
    <mergeCell ref="D29:G29"/>
    <mergeCell ref="A26:C26"/>
    <mergeCell ref="F7:G7"/>
    <mergeCell ref="B12:C12"/>
    <mergeCell ref="B21:C21"/>
    <mergeCell ref="F12:G12"/>
    <mergeCell ref="D26:G26"/>
    <mergeCell ref="B11:C11"/>
    <mergeCell ref="F15:G15"/>
    <mergeCell ref="F18:G18"/>
    <mergeCell ref="B23:C23"/>
    <mergeCell ref="B14:C14"/>
    <mergeCell ref="B17:C17"/>
    <mergeCell ref="A29:C29"/>
    <mergeCell ref="B8:C8"/>
    <mergeCell ref="A20:C20"/>
    <mergeCell ref="F17:G17"/>
    <mergeCell ref="F8:G8"/>
    <mergeCell ref="B13:C13"/>
    <mergeCell ref="A28:C28"/>
    <mergeCell ref="A1:G3"/>
    <mergeCell ref="E22:G22"/>
    <mergeCell ref="B10:C10"/>
    <mergeCell ref="F13:G13"/>
    <mergeCell ref="B9:C9"/>
    <mergeCell ref="E21:G21"/>
    <mergeCell ref="D27:G27"/>
    <mergeCell ref="A24:C24"/>
    <mergeCell ref="F9:G9"/>
    <mergeCell ref="D28:G28"/>
    <mergeCell ref="B15:C15"/>
    <mergeCell ref="E23:G23"/>
    <mergeCell ref="F14:G14"/>
    <mergeCell ref="E20:G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8.88671875" customWidth="1" min="1" max="1"/>
    <col width="29.21875" customWidth="1" min="2" max="2"/>
    <col width="14.5546875" customWidth="1" min="3" max="3"/>
    <col width="11.6640625" customWidth="1" min="4" max="4"/>
    <col width="10.77734375" customWidth="1" min="5" max="5"/>
    <col width="8.109375" customWidth="1" min="6" max="6"/>
    <col width="10.5546875" customWidth="1" min="7" max="7"/>
    <col width="5.6640625" customWidth="1" min="8" max="8"/>
    <col width="21.6640625" customWidth="1" min="9" max="9"/>
    <col width="19.44140625" customWidth="1" min="10" max="10"/>
    <col width="20" customWidth="1" min="11" max="11"/>
    <col width="19.44140625" customWidth="1" min="12" max="12"/>
    <col width="8.88671875" customWidth="1" min="13" max="13"/>
  </cols>
  <sheetData>
    <row r="1" ht="13.5" customHeight="1">
      <c r="A1" s="1" t="inlineStr">
        <is>
          <t>인테리어디자인 교육과정 수강료 안내</t>
        </is>
      </c>
      <c r="B1" s="2" t="n"/>
      <c r="C1" s="2" t="n"/>
      <c r="D1" s="2" t="n"/>
      <c r="E1" s="2" t="n"/>
      <c r="F1" s="2" t="n"/>
      <c r="G1" s="3" t="n"/>
    </row>
    <row r="2" ht="13.5" customHeight="1">
      <c r="A2" s="4" t="n"/>
      <c r="G2" s="5" t="n"/>
    </row>
    <row r="3" ht="13.5" customHeight="1">
      <c r="A3" s="4" t="n"/>
      <c r="G3" s="5" t="n"/>
    </row>
    <row r="4" ht="27" customHeight="1">
      <c r="A4" s="6" t="n"/>
      <c r="B4" s="7" t="n"/>
      <c r="C4" s="8" t="n"/>
      <c r="D4" s="9" t="n"/>
      <c r="E4" s="10" t="n"/>
      <c r="F4" s="11" t="n"/>
      <c r="G4" s="5" t="n"/>
    </row>
    <row r="5" ht="27" customHeight="1">
      <c r="A5" s="6" t="n"/>
      <c r="B5" s="7" t="n"/>
      <c r="C5" s="12" t="inlineStr">
        <is>
          <t xml:space="preserve">상 담 일 자 : </t>
        </is>
      </c>
      <c r="D5" s="13">
        <f>TODAY()</f>
        <v/>
      </c>
      <c r="E5" s="14" t="inlineStr">
        <is>
          <t xml:space="preserve">상 담 자 : </t>
        </is>
      </c>
      <c r="F5" s="15" t="inlineStr">
        <is>
          <t>안재현 교육멘토</t>
        </is>
      </c>
      <c r="G5" s="16" t="n"/>
    </row>
    <row r="6" ht="19.5" customHeight="1">
      <c r="A6" s="17" t="inlineStr">
        <is>
          <t xml:space="preserve">■  과정 및 수강료                              </t>
        </is>
      </c>
      <c r="B6" s="15" t="n"/>
      <c r="C6" s="8" t="n"/>
      <c r="D6" s="18" t="n"/>
      <c r="E6" s="12" t="inlineStr">
        <is>
          <t xml:space="preserve">연 락 처 : </t>
        </is>
      </c>
      <c r="F6" s="15" t="inlineStr">
        <is>
          <t>042-710-8921</t>
        </is>
      </c>
      <c r="G6" s="19" t="n"/>
    </row>
    <row r="7" ht="19.5" customHeight="1">
      <c r="A7" s="20" t="inlineStr">
        <is>
          <t>과 정</t>
        </is>
      </c>
      <c r="B7" s="21" t="inlineStr">
        <is>
          <t>과목명</t>
        </is>
      </c>
      <c r="C7" s="22" t="n"/>
      <c r="D7" s="21" t="inlineStr">
        <is>
          <t>COURSE</t>
        </is>
      </c>
      <c r="E7" s="21" t="inlineStr">
        <is>
          <t>DAY</t>
        </is>
      </c>
      <c r="F7" s="23" t="inlineStr">
        <is>
          <t>수강료</t>
        </is>
      </c>
      <c r="G7" s="24" t="n"/>
      <c r="I7" s="25" t="n"/>
      <c r="J7" s="26" t="n"/>
      <c r="K7" s="27" t="n"/>
      <c r="L7" s="27" t="n"/>
    </row>
    <row r="8" ht="19.5" customHeight="1">
      <c r="A8" s="28" t="n"/>
      <c r="B8" s="29" t="inlineStr">
        <is>
          <t>발상과표현</t>
        </is>
      </c>
      <c r="C8" s="22" t="n"/>
      <c r="D8" s="30" t="n">
        <v>1</v>
      </c>
      <c r="E8" s="31" t="inlineStr">
        <is>
          <t>평일 / 주말</t>
        </is>
      </c>
      <c r="F8" s="32" t="n">
        <v>400000</v>
      </c>
      <c r="G8" s="24" t="n"/>
      <c r="I8" s="25" t="n"/>
      <c r="J8" s="26" t="n"/>
      <c r="K8" s="27" t="n"/>
      <c r="L8" s="27" t="n"/>
    </row>
    <row r="9" ht="19.5" customHeight="1">
      <c r="A9" s="28" t="n"/>
      <c r="B9" s="29" t="inlineStr">
        <is>
          <t>색채학</t>
        </is>
      </c>
      <c r="C9" s="22" t="n"/>
      <c r="D9" s="30" t="n">
        <v>1</v>
      </c>
      <c r="E9" s="31" t="inlineStr">
        <is>
          <t>평일 / 주말</t>
        </is>
      </c>
      <c r="F9" s="32" t="n">
        <v>400000</v>
      </c>
      <c r="G9" s="24" t="n"/>
      <c r="I9" s="25" t="n"/>
      <c r="J9" s="26" t="n"/>
      <c r="K9" s="27" t="n"/>
      <c r="L9" s="27" t="n"/>
    </row>
    <row r="10" ht="19.5" customHeight="1">
      <c r="A10" s="28" t="n"/>
      <c r="B10" s="29" t="inlineStr">
        <is>
          <t>포토샵, 일러스트</t>
        </is>
      </c>
      <c r="C10" s="22" t="n"/>
      <c r="D10" s="30" t="n">
        <v>1</v>
      </c>
      <c r="E10" s="31" t="inlineStr">
        <is>
          <t>평일 / 주말</t>
        </is>
      </c>
      <c r="F10" s="32" t="n">
        <v>350000</v>
      </c>
      <c r="G10" s="24" t="n"/>
      <c r="I10" s="25" t="n"/>
      <c r="J10" s="26" t="n"/>
      <c r="K10" s="27" t="n"/>
      <c r="L10" s="27" t="n"/>
    </row>
    <row r="11" ht="19.5" customHeight="1">
      <c r="A11" s="28" t="n"/>
      <c r="B11" s="29" t="inlineStr">
        <is>
          <t>포토웍스, 디일러</t>
        </is>
      </c>
      <c r="C11" s="22" t="n"/>
      <c r="D11" s="30" t="n">
        <v>1</v>
      </c>
      <c r="E11" s="31" t="inlineStr">
        <is>
          <t>평일 / 주말</t>
        </is>
      </c>
      <c r="F11" s="32" t="n">
        <v>400000</v>
      </c>
      <c r="G11" s="24" t="n"/>
      <c r="I11" s="25" t="n"/>
      <c r="J11" s="26" t="n"/>
      <c r="K11" s="27" t="n"/>
      <c r="L11" s="27" t="n"/>
    </row>
    <row r="12" ht="19.5" customHeight="1">
      <c r="A12" s="28" t="n"/>
      <c r="B12" s="29" t="inlineStr">
        <is>
          <t>캐드 1</t>
        </is>
      </c>
      <c r="C12" s="22" t="n"/>
      <c r="D12" s="30" t="n">
        <v>1</v>
      </c>
      <c r="E12" s="31" t="inlineStr">
        <is>
          <t>평일 / 주말</t>
        </is>
      </c>
      <c r="F12" s="32" t="n">
        <v>400000</v>
      </c>
      <c r="G12" s="24" t="n"/>
      <c r="I12" s="25" t="n"/>
      <c r="J12" s="26" t="n"/>
      <c r="K12" s="27" t="n"/>
      <c r="L12" s="27" t="n"/>
    </row>
    <row r="13" ht="19.5" customHeight="1">
      <c r="A13" s="28" t="n"/>
      <c r="B13" s="29" t="inlineStr">
        <is>
          <t>캐드 2 (도면제작/CAT)</t>
        </is>
      </c>
      <c r="C13" s="22" t="n"/>
      <c r="D13" s="30" t="n">
        <v>1</v>
      </c>
      <c r="E13" s="31" t="inlineStr">
        <is>
          <t>평일 / 주말</t>
        </is>
      </c>
      <c r="F13" s="32" t="n">
        <v>400000</v>
      </c>
      <c r="G13" s="24" t="n"/>
      <c r="I13" s="25" t="n"/>
      <c r="J13" s="26" t="n"/>
      <c r="K13" s="27" t="n"/>
      <c r="L13" s="27" t="n"/>
    </row>
    <row r="14" ht="19.5" customHeight="1">
      <c r="A14" s="28" t="n"/>
      <c r="B14" s="29" t="inlineStr">
        <is>
          <t>스케치업 1 (Modeling)</t>
        </is>
      </c>
      <c r="C14" s="22" t="n"/>
      <c r="D14" s="30" t="n">
        <v>1</v>
      </c>
      <c r="E14" s="31" t="inlineStr">
        <is>
          <t>평일 / 주말</t>
        </is>
      </c>
      <c r="F14" s="32" t="n">
        <v>400000</v>
      </c>
      <c r="G14" s="24" t="n"/>
      <c r="I14" s="25" t="n"/>
      <c r="J14" s="26" t="n"/>
      <c r="K14" s="27" t="n"/>
      <c r="L14" s="27" t="n"/>
    </row>
    <row r="15" ht="19.5" customHeight="1">
      <c r="A15" s="28" t="n"/>
      <c r="B15" s="29" t="inlineStr">
        <is>
          <t>스케치업 2 (Rendering)</t>
        </is>
      </c>
      <c r="C15" s="22" t="n"/>
      <c r="D15" s="30" t="n">
        <v>1</v>
      </c>
      <c r="E15" s="31" t="inlineStr">
        <is>
          <t>평일 / 주말</t>
        </is>
      </c>
      <c r="F15" s="32" t="n">
        <v>400000</v>
      </c>
      <c r="G15" s="24" t="n"/>
      <c r="I15" s="25" t="n"/>
      <c r="J15" s="26" t="n"/>
      <c r="K15" s="27" t="n"/>
      <c r="L15" s="27" t="n"/>
    </row>
    <row r="16" ht="19.5" customHeight="1">
      <c r="A16" s="28" t="n"/>
      <c r="B16" s="29" t="inlineStr">
        <is>
          <t>맥스 1 (Modeling)</t>
        </is>
      </c>
      <c r="C16" s="22" t="n"/>
      <c r="D16" s="30" t="n">
        <v>1</v>
      </c>
      <c r="E16" s="31" t="inlineStr">
        <is>
          <t>평일 / 주말</t>
        </is>
      </c>
      <c r="F16" s="32" t="n">
        <v>450000</v>
      </c>
      <c r="G16" s="24" t="n"/>
      <c r="I16" s="25" t="n"/>
      <c r="J16" s="26" t="n"/>
      <c r="K16" s="27" t="n"/>
      <c r="L16" s="27" t="n"/>
    </row>
    <row r="17" ht="19.5" customHeight="1">
      <c r="A17" s="28" t="n"/>
      <c r="B17" s="29" t="inlineStr">
        <is>
          <t>맥스 2 (Modeling+)</t>
        </is>
      </c>
      <c r="C17" s="22" t="n"/>
      <c r="D17" s="30" t="n">
        <v>1</v>
      </c>
      <c r="E17" s="31" t="inlineStr">
        <is>
          <t>평일 / 주말</t>
        </is>
      </c>
      <c r="F17" s="32" t="n">
        <v>450000</v>
      </c>
      <c r="G17" s="24" t="n"/>
      <c r="I17" s="25" t="n"/>
      <c r="J17" s="26" t="n"/>
      <c r="K17" s="27" t="n"/>
      <c r="L17" s="27" t="n"/>
    </row>
    <row r="18" ht="19.5" customHeight="1">
      <c r="A18" s="28" t="n"/>
      <c r="B18" s="29" t="inlineStr">
        <is>
          <t>맥스 3 (Rendering)</t>
        </is>
      </c>
      <c r="C18" s="22" t="n"/>
      <c r="D18" s="30" t="n">
        <v>1</v>
      </c>
      <c r="E18" s="31" t="inlineStr">
        <is>
          <t>평일 / 주말</t>
        </is>
      </c>
      <c r="F18" s="32" t="n">
        <v>450000</v>
      </c>
      <c r="G18" s="24" t="n"/>
      <c r="I18" s="25" t="n"/>
      <c r="J18" s="26" t="n"/>
      <c r="K18" s="27" t="n"/>
      <c r="L18" s="27" t="n"/>
    </row>
    <row r="19" ht="19.5" customHeight="1">
      <c r="A19" s="28" t="n"/>
      <c r="B19" s="29" t="inlineStr">
        <is>
          <t>인테리어 스케치 1</t>
        </is>
      </c>
      <c r="C19" s="22" t="n"/>
      <c r="D19" s="30" t="n">
        <v>1</v>
      </c>
      <c r="E19" s="31" t="inlineStr">
        <is>
          <t>평일 / 주말</t>
        </is>
      </c>
      <c r="F19" s="32" t="n">
        <v>400000</v>
      </c>
      <c r="G19" s="24" t="n"/>
      <c r="I19" s="25" t="n"/>
      <c r="J19" s="26" t="n"/>
      <c r="K19" s="27" t="n"/>
      <c r="L19" s="27" t="n"/>
    </row>
    <row r="20" ht="19.5" customHeight="1">
      <c r="A20" s="28" t="n"/>
      <c r="B20" s="29" t="inlineStr">
        <is>
          <t>인테리어 스케치 2</t>
        </is>
      </c>
      <c r="C20" s="22" t="n"/>
      <c r="D20" s="30" t="n">
        <v>1</v>
      </c>
      <c r="E20" s="31" t="inlineStr">
        <is>
          <t>평일 / 주말</t>
        </is>
      </c>
      <c r="F20" s="32" t="n">
        <v>400000</v>
      </c>
      <c r="G20" s="24" t="n"/>
      <c r="I20" s="25" t="n"/>
      <c r="J20" s="26" t="n"/>
      <c r="K20" s="27" t="n"/>
      <c r="L20" s="27" t="n"/>
    </row>
    <row r="21" ht="19.5" customHeight="1">
      <c r="A21" s="28" t="n"/>
      <c r="B21" s="29" t="inlineStr">
        <is>
          <t>인테리어 스케치 3</t>
        </is>
      </c>
      <c r="C21" s="22" t="n"/>
      <c r="D21" s="30" t="n">
        <v>1</v>
      </c>
      <c r="E21" s="31" t="inlineStr">
        <is>
          <t>평일 / 주말</t>
        </is>
      </c>
      <c r="F21" s="32" t="n">
        <v>400000</v>
      </c>
      <c r="G21" s="24" t="n"/>
      <c r="I21" s="25" t="n"/>
      <c r="J21" s="26" t="n"/>
      <c r="K21" s="27" t="n"/>
      <c r="L21" s="27" t="n"/>
    </row>
    <row r="22" ht="19.5" customHeight="1">
      <c r="A22" s="28" t="n"/>
      <c r="B22" s="29" t="inlineStr">
        <is>
          <t>인테리어 스케치 4</t>
        </is>
      </c>
      <c r="C22" s="22" t="n"/>
      <c r="D22" s="30" t="n">
        <v>1</v>
      </c>
      <c r="E22" s="31" t="inlineStr">
        <is>
          <t>평일 / 주말</t>
        </is>
      </c>
      <c r="F22" s="32" t="n">
        <v>400000</v>
      </c>
      <c r="G22" s="24" t="n"/>
      <c r="I22" s="25" t="n"/>
      <c r="J22" s="26" t="n"/>
      <c r="K22" s="27" t="n"/>
      <c r="L22" s="27" t="n"/>
    </row>
    <row r="23" ht="19.5" customHeight="1">
      <c r="A23" s="28" t="n"/>
      <c r="B23" s="29" t="inlineStr">
        <is>
          <t>시공실무</t>
        </is>
      </c>
      <c r="C23" s="22" t="n"/>
      <c r="D23" s="30" t="n">
        <v>1</v>
      </c>
      <c r="E23" s="31" t="inlineStr">
        <is>
          <t>평일 / 주말</t>
        </is>
      </c>
      <c r="F23" s="32" t="n">
        <v>300000</v>
      </c>
      <c r="G23" s="24" t="n"/>
      <c r="I23" s="25" t="n"/>
      <c r="J23" s="26" t="n"/>
      <c r="K23" s="27" t="n"/>
      <c r="L23" s="27" t="n"/>
    </row>
    <row r="24" ht="19.5" customHeight="1">
      <c r="A24" s="28" t="n"/>
      <c r="B24" s="29" t="inlineStr">
        <is>
          <t>실내건축이론</t>
        </is>
      </c>
      <c r="C24" s="22" t="n"/>
      <c r="D24" s="30" t="n">
        <v>1</v>
      </c>
      <c r="E24" s="31" t="inlineStr">
        <is>
          <t>평일 / 주말</t>
        </is>
      </c>
      <c r="F24" s="32" t="n">
        <v>400000</v>
      </c>
      <c r="G24" s="24" t="n"/>
      <c r="I24" s="25" t="n"/>
      <c r="J24" s="26" t="n"/>
      <c r="K24" s="27" t="n"/>
      <c r="L24" s="27" t="n"/>
    </row>
    <row r="25" ht="19.5" customHeight="1">
      <c r="A25" s="28" t="n"/>
      <c r="B25" s="29" t="inlineStr">
        <is>
          <t>실내건축자격증 1</t>
        </is>
      </c>
      <c r="C25" s="22" t="n"/>
      <c r="D25" s="30" t="n">
        <v>1</v>
      </c>
      <c r="E25" s="31" t="inlineStr">
        <is>
          <t>평일 / 주말</t>
        </is>
      </c>
      <c r="F25" s="32" t="n">
        <v>400000</v>
      </c>
      <c r="G25" s="24" t="n"/>
      <c r="I25" s="25" t="n"/>
      <c r="J25" s="26" t="n"/>
      <c r="K25" s="27" t="n"/>
      <c r="L25" s="27" t="n"/>
    </row>
    <row r="26" ht="19.5" customHeight="1">
      <c r="A26" s="28" t="n"/>
      <c r="B26" s="29" t="inlineStr">
        <is>
          <t>실내건축자격증 2</t>
        </is>
      </c>
      <c r="C26" s="22" t="n"/>
      <c r="D26" s="30" t="n">
        <v>1</v>
      </c>
      <c r="E26" s="31" t="inlineStr">
        <is>
          <t>평일 / 주말</t>
        </is>
      </c>
      <c r="F26" s="32" t="n">
        <v>400000</v>
      </c>
      <c r="G26" s="24" t="n"/>
      <c r="I26" s="25" t="n"/>
      <c r="J26" s="26" t="n"/>
      <c r="K26" s="27" t="n"/>
      <c r="L26" s="27" t="n"/>
    </row>
    <row r="27" ht="19.5" customHeight="1">
      <c r="A27" s="28" t="n"/>
      <c r="B27" s="29" t="inlineStr">
        <is>
          <t>실내건축자격증 3</t>
        </is>
      </c>
      <c r="C27" s="22" t="n"/>
      <c r="D27" s="30" t="n">
        <v>1</v>
      </c>
      <c r="E27" s="31" t="inlineStr">
        <is>
          <t>평일 / 주말</t>
        </is>
      </c>
      <c r="F27" s="32" t="n">
        <v>400000</v>
      </c>
      <c r="G27" s="24" t="n"/>
      <c r="I27" s="25" t="n"/>
      <c r="J27" s="26" t="n"/>
      <c r="K27" s="27" t="n"/>
      <c r="L27" s="27" t="n"/>
    </row>
    <row r="28" ht="19.5" customHeight="1">
      <c r="A28" s="28" t="n"/>
      <c r="B28" s="29" t="inlineStr">
        <is>
          <t>실내건축자격증 4</t>
        </is>
      </c>
      <c r="C28" s="22" t="n"/>
      <c r="D28" s="30" t="n">
        <v>1</v>
      </c>
      <c r="E28" s="31" t="inlineStr">
        <is>
          <t>평일 / 주말</t>
        </is>
      </c>
      <c r="F28" s="32" t="n">
        <v>400000</v>
      </c>
      <c r="G28" s="24" t="n"/>
      <c r="I28" s="25" t="n"/>
      <c r="J28" s="26" t="n"/>
      <c r="K28" s="27" t="n"/>
      <c r="L28" s="27" t="n"/>
    </row>
    <row r="29" ht="19.5" customHeight="1">
      <c r="A29" s="28" t="n"/>
      <c r="B29" s="29" t="inlineStr">
        <is>
          <t>AI 크리에이터-인테리어</t>
        </is>
      </c>
      <c r="C29" s="22" t="n"/>
      <c r="D29" s="30" t="n">
        <v>1</v>
      </c>
      <c r="E29" s="31" t="inlineStr">
        <is>
          <t>평일 / 주말</t>
        </is>
      </c>
      <c r="F29" s="32" t="n">
        <v>500000</v>
      </c>
      <c r="G29" s="24" t="n"/>
      <c r="I29" s="25" t="n"/>
      <c r="J29" s="26" t="n"/>
      <c r="K29" s="27" t="n"/>
      <c r="L29" s="27" t="n"/>
    </row>
    <row r="30" ht="19.5" customHeight="1">
      <c r="A30" s="28" t="n"/>
      <c r="B30" s="29" t="inlineStr">
        <is>
          <t>인테리어 포트폴리오 1</t>
        </is>
      </c>
      <c r="C30" s="22" t="n"/>
      <c r="D30" s="30" t="n">
        <v>1</v>
      </c>
      <c r="E30" s="31" t="inlineStr">
        <is>
          <t>평일 / 주말</t>
        </is>
      </c>
      <c r="F30" s="32" t="n">
        <v>500000</v>
      </c>
      <c r="G30" s="24" t="n"/>
      <c r="I30" s="25" t="n"/>
      <c r="J30" s="26" t="n"/>
      <c r="K30" s="27" t="n"/>
      <c r="L30" s="27" t="n"/>
    </row>
    <row r="31" ht="19.5" customHeight="1">
      <c r="A31" s="28" t="n"/>
      <c r="B31" s="29" t="inlineStr">
        <is>
          <t>인테리어 포트폴리오 2</t>
        </is>
      </c>
      <c r="C31" s="22" t="n"/>
      <c r="D31" s="30" t="n">
        <v>1</v>
      </c>
      <c r="E31" s="31" t="inlineStr">
        <is>
          <t>평일 / 주말</t>
        </is>
      </c>
      <c r="F31" s="32" t="n">
        <v>500000</v>
      </c>
      <c r="G31" s="24" t="n"/>
      <c r="I31" s="25" t="n"/>
      <c r="J31" s="26" t="n"/>
      <c r="K31" s="27" t="n"/>
      <c r="L31" s="27" t="n"/>
    </row>
    <row r="32" ht="19.5" customHeight="1">
      <c r="A32" s="28" t="n"/>
      <c r="B32" s="29" t="inlineStr">
        <is>
          <t>인테리어 포트폴리오 3</t>
        </is>
      </c>
      <c r="C32" s="22" t="n"/>
      <c r="D32" s="30" t="n">
        <v>1</v>
      </c>
      <c r="E32" s="31" t="inlineStr">
        <is>
          <t>평일 / 주말</t>
        </is>
      </c>
      <c r="F32" s="32" t="n">
        <v>500000</v>
      </c>
      <c r="G32" s="24" t="n"/>
      <c r="I32" s="25" t="n"/>
      <c r="J32" s="26" t="n"/>
      <c r="K32" s="27" t="n"/>
      <c r="L32" s="27" t="n"/>
    </row>
    <row r="33" ht="33.6" customHeight="1">
      <c r="A33" s="33" t="inlineStr">
        <is>
          <t>따즈아</t>
        </is>
      </c>
      <c r="B33" s="34" t="inlineStr">
        <is>
          <t>온라인강의</t>
        </is>
      </c>
      <c r="C33" s="35" t="n">
        <v>0</v>
      </c>
      <c r="D33" s="36">
        <f>SUM(D8:D32)</f>
        <v/>
      </c>
      <c r="E33" s="37" t="inlineStr">
        <is>
          <t>원수강료</t>
        </is>
      </c>
      <c r="F33" s="38">
        <f>SUM(F8:F32)</f>
        <v/>
      </c>
      <c r="G33" s="39" t="n"/>
      <c r="I33" s="40" t="n"/>
      <c r="J33" s="40" t="n"/>
      <c r="K33" s="40" t="n"/>
      <c r="L33" s="40" t="n"/>
    </row>
    <row r="34" ht="19.5" customHeight="1">
      <c r="A34" s="41" t="inlineStr">
        <is>
          <t>■ 교육과정 할인내역</t>
        </is>
      </c>
      <c r="B34" s="42" t="n"/>
      <c r="C34" s="43" t="n"/>
      <c r="D34" s="44" t="n"/>
      <c r="E34" s="44" t="n"/>
      <c r="F34" s="45" t="n"/>
      <c r="G34" s="5" t="n"/>
      <c r="I34" s="40" t="n"/>
      <c r="J34" s="40" t="n"/>
      <c r="K34" s="40" t="n"/>
      <c r="L34" s="40" t="n"/>
    </row>
    <row r="35" ht="19.5" customHeight="1">
      <c r="A35" s="20" t="inlineStr">
        <is>
          <t>세부할인 내역</t>
        </is>
      </c>
      <c r="B35" s="46" t="n"/>
      <c r="C35" s="22" t="n"/>
      <c r="D35" s="21" t="inlineStr">
        <is>
          <t>할인율(%)</t>
        </is>
      </c>
      <c r="E35" s="47" t="inlineStr">
        <is>
          <t>할인금액</t>
        </is>
      </c>
      <c r="F35" s="46" t="n"/>
      <c r="G35" s="24" t="n"/>
    </row>
    <row r="36" ht="19.5" customHeight="1">
      <c r="A36" s="48" t="inlineStr">
        <is>
          <t>할인
내역</t>
        </is>
      </c>
      <c r="B36" s="49" t="inlineStr">
        <is>
          <t>겨울방학 할인</t>
        </is>
      </c>
      <c r="C36" s="46" t="n"/>
      <c r="D36" s="50" t="n">
        <v>0.15</v>
      </c>
      <c r="E36" s="51">
        <f>F33*D36</f>
        <v/>
      </c>
      <c r="F36" s="46" t="n"/>
      <c r="G36" s="24" t="n"/>
    </row>
    <row r="37" ht="19.5" customHeight="1">
      <c r="A37" s="52" t="n"/>
      <c r="B37" s="49" t="inlineStr">
        <is>
          <t>멘토직권 할인</t>
        </is>
      </c>
      <c r="C37" s="46" t="n"/>
      <c r="D37" s="53" t="n">
        <v>0.1</v>
      </c>
      <c r="E37" s="54">
        <f>(F33*(1-D36)*D37)</f>
        <v/>
      </c>
      <c r="F37" s="46" t="n"/>
      <c r="G37" s="24" t="n"/>
    </row>
    <row r="38" ht="19.5" customHeight="1">
      <c r="A38" s="55" t="n"/>
      <c r="B38" s="49" t="inlineStr">
        <is>
          <t>잔여석 지원 할인</t>
        </is>
      </c>
      <c r="C38" s="46" t="n"/>
      <c r="D38" s="56" t="n">
        <v>0.15</v>
      </c>
      <c r="E38" s="51">
        <f>(F33*(1-D36)*(1-D37)*D38)</f>
        <v/>
      </c>
      <c r="F38" s="46" t="n"/>
      <c r="G38" s="24" t="n"/>
      <c r="H38" s="40" t="n"/>
      <c r="I38" s="25" t="n"/>
      <c r="J38" s="26" t="n"/>
      <c r="K38" s="27" t="n"/>
      <c r="L38" s="27" t="n"/>
    </row>
    <row r="39" ht="19.5" customHeight="1">
      <c r="A39" s="57" t="inlineStr">
        <is>
          <t xml:space="preserve">총 할인금액 (수강지원)  </t>
        </is>
      </c>
      <c r="B39" s="46" t="n"/>
      <c r="C39" s="22" t="n"/>
      <c r="D39" s="58">
        <f>ROUNDUP(SUM(E36:G38),-3)</f>
        <v/>
      </c>
      <c r="E39" s="46" t="n"/>
      <c r="F39" s="46" t="n"/>
      <c r="G39" s="24" t="n"/>
      <c r="H39" s="40" t="n"/>
      <c r="I39" s="25" t="n"/>
      <c r="J39" s="26" t="n"/>
      <c r="K39" s="27" t="n"/>
      <c r="L39" s="27" t="n"/>
    </row>
    <row r="40" ht="23.25" customHeight="1">
      <c r="A40" s="59" t="inlineStr">
        <is>
          <t xml:space="preserve">납부 해야할 수강료 (할인적용)  </t>
        </is>
      </c>
      <c r="B40" s="46" t="n"/>
      <c r="C40" s="22" t="n"/>
      <c r="D40" s="60">
        <f>F33-D39</f>
        <v/>
      </c>
      <c r="E40" s="46" t="n"/>
      <c r="F40" s="46" t="n"/>
      <c r="G40" s="24" t="n"/>
      <c r="H40" s="40" t="n"/>
      <c r="I40" s="40" t="n"/>
      <c r="J40" s="40" t="n"/>
      <c r="K40" s="40" t="n"/>
      <c r="L40" s="40" t="n"/>
    </row>
    <row r="41" ht="23.25" customHeight="1">
      <c r="A41" s="59" t="inlineStr">
        <is>
          <t>총 등록금액</t>
        </is>
      </c>
      <c r="B41" s="46" t="n"/>
      <c r="C41" s="22" t="n"/>
      <c r="D41" s="60">
        <f>SUM(D40+C33)</f>
        <v/>
      </c>
      <c r="E41" s="46" t="n"/>
      <c r="F41" s="46" t="n"/>
      <c r="G41" s="24" t="n"/>
      <c r="H41" s="40" t="n"/>
    </row>
    <row r="42" ht="23.25" customHeight="1">
      <c r="A42" s="59" t="inlineStr">
        <is>
          <t>3개월 할부 진행시</t>
        </is>
      </c>
      <c r="B42" s="46" t="n"/>
      <c r="C42" s="22" t="n"/>
      <c r="D42" s="61">
        <f>SUM(D41/3)</f>
        <v/>
      </c>
      <c r="E42" s="46" t="n"/>
      <c r="F42" s="46" t="n"/>
      <c r="G42" s="24" t="n"/>
      <c r="H42" s="40" t="n"/>
    </row>
    <row r="43" ht="23.25" customHeight="1">
      <c r="A43" s="59" t="inlineStr">
        <is>
          <t>6개월 할부 진행시</t>
        </is>
      </c>
      <c r="B43" s="46" t="n"/>
      <c r="C43" s="22" t="n"/>
      <c r="D43" s="61">
        <f>SUM(D41/6)</f>
        <v/>
      </c>
      <c r="E43" s="46" t="n"/>
      <c r="F43" s="46" t="n"/>
      <c r="G43" s="24" t="n"/>
      <c r="H43" s="40" t="n"/>
    </row>
    <row r="44" ht="23.25" customHeight="1">
      <c r="A44" s="59" t="inlineStr">
        <is>
          <t>1과목당 수강료</t>
        </is>
      </c>
      <c r="B44" s="46" t="n"/>
      <c r="C44" s="22" t="n"/>
      <c r="D44" s="61">
        <f>SUM(D40/D33)</f>
        <v/>
      </c>
      <c r="E44" s="46" t="n"/>
      <c r="F44" s="46" t="n"/>
      <c r="G44" s="24" t="n"/>
      <c r="H44" s="40" t="n"/>
    </row>
    <row r="45" ht="16.5" customHeight="1">
      <c r="A45" s="62" t="n"/>
      <c r="B45" s="63" t="n"/>
      <c r="G45" s="64" t="n"/>
      <c r="I45" s="65" t="n"/>
      <c r="J45" s="40" t="n"/>
      <c r="K45" s="40" t="n"/>
      <c r="L45" s="40" t="n"/>
    </row>
    <row r="46" ht="16.5" customHeight="1">
      <c r="A46" s="66" t="inlineStr">
        <is>
          <t>■ 안내사항</t>
        </is>
      </c>
      <c r="B46" s="63" t="n"/>
      <c r="C46" s="63" t="n"/>
      <c r="D46" s="63" t="n"/>
      <c r="E46" s="63" t="n"/>
      <c r="F46" s="63" t="n"/>
      <c r="G46" s="64" t="n"/>
      <c r="I46" s="65" t="n"/>
      <c r="J46" s="40" t="n"/>
      <c r="K46" s="40" t="n"/>
      <c r="L46" s="40" t="n"/>
    </row>
    <row r="47" ht="16.5" customHeight="1">
      <c r="A47" s="62" t="inlineStr">
        <is>
          <t xml:space="preserve">   1) 위 수강료는 학원내 게시되어 있는 수강료 기준이며, 교육청에 신고된 금액입니다.</t>
        </is>
      </c>
      <c r="B47" s="63" t="n"/>
      <c r="C47" s="63" t="n"/>
      <c r="D47" s="63" t="n"/>
      <c r="E47" s="63" t="n"/>
      <c r="F47" s="63" t="n"/>
      <c r="G47" s="64" t="n"/>
      <c r="I47" s="40" t="n"/>
      <c r="J47" s="40" t="n"/>
      <c r="K47" s="40" t="n"/>
      <c r="L47" s="40" t="n"/>
    </row>
    <row r="48" ht="16.5" customHeight="1">
      <c r="A48" s="62" t="inlineStr">
        <is>
          <t xml:space="preserve">   2) 위 할인내역은 해당사항에 한해 적용되며, 할인내용에 해당될 시 증명서류를 증빙해야 할인 받을 수 있습니다.</t>
        </is>
      </c>
      <c r="B48" s="63" t="n"/>
      <c r="C48" s="63" t="n"/>
      <c r="D48" s="63" t="n"/>
      <c r="E48" s="63" t="n"/>
      <c r="F48" s="63" t="n"/>
      <c r="G48" s="64" t="n"/>
      <c r="I48" s="40" t="n"/>
      <c r="J48" s="40" t="n"/>
      <c r="K48" s="40" t="n"/>
      <c r="L48" s="40" t="n"/>
    </row>
    <row r="49" ht="16.5" customHeight="1">
      <c r="A49" s="62" t="inlineStr">
        <is>
          <t xml:space="preserve">   3) 할인금액은 수강과목지원(무료)으로 진행됩니다.</t>
        </is>
      </c>
      <c r="B49" s="44" t="n"/>
      <c r="C49" s="44" t="n"/>
      <c r="D49" s="67" t="n"/>
      <c r="E49" s="67" t="n"/>
      <c r="F49" s="68" t="n"/>
      <c r="G49" s="69" t="n"/>
    </row>
    <row r="50" ht="16.5" customHeight="1">
      <c r="A50" s="62" t="n"/>
      <c r="B50" s="44" t="n"/>
      <c r="C50" s="44" t="n"/>
      <c r="D50" s="67" t="n"/>
      <c r="E50" s="67" t="n"/>
      <c r="F50" s="68" t="n"/>
      <c r="G50" s="69" t="n"/>
    </row>
    <row r="51" ht="16.5" customHeight="1">
      <c r="A51" s="66" t="inlineStr">
        <is>
          <t>■ 수강료 납부 안내</t>
        </is>
      </c>
      <c r="B51" s="70" t="n"/>
      <c r="C51" s="70" t="n"/>
      <c r="D51" s="71" t="n"/>
      <c r="E51" s="71" t="n"/>
      <c r="F51" s="71" t="n"/>
      <c r="G51" s="72" t="n"/>
    </row>
    <row r="52" ht="16.5" customHeight="1">
      <c r="A52" s="62" t="inlineStr">
        <is>
          <t xml:space="preserve">    1) 현금수납 - 학원 안내접수처에서 접수 및 결제(현금영수증 발행)</t>
        </is>
      </c>
      <c r="B52" s="73" t="n"/>
      <c r="C52" s="73" t="n"/>
      <c r="D52" s="71" t="n"/>
      <c r="E52" s="71" t="n"/>
      <c r="F52" s="71" t="n"/>
      <c r="G52" s="72" t="n"/>
    </row>
    <row r="53" ht="16.5" customHeight="1">
      <c r="A53" s="62" t="inlineStr">
        <is>
          <t xml:space="preserve">    2) 온라인입금(계좌이체) 결제(현금영수증 발행)</t>
        </is>
      </c>
      <c r="B53" s="73" t="n"/>
      <c r="C53" s="73" t="n"/>
      <c r="D53" s="71" t="n"/>
      <c r="E53" s="71" t="n"/>
      <c r="F53" s="71" t="n"/>
      <c r="G53" s="72" t="n"/>
    </row>
    <row r="54" ht="16.5" customHeight="1">
      <c r="A54" s="66" t="n"/>
      <c r="B54" s="74" t="n"/>
      <c r="C54" s="74" t="n"/>
      <c r="D54" s="71" t="n"/>
      <c r="E54" s="71" t="n"/>
      <c r="F54" s="71" t="n"/>
      <c r="G54" s="72" t="n"/>
    </row>
    <row r="55" ht="16.5" customHeight="1">
      <c r="A55" s="62" t="inlineStr">
        <is>
          <t xml:space="preserve">    3) 카드수납 - 학원 안내접수처에서 접수 및 결제 or 카드번호 결제(키인결제)</t>
        </is>
      </c>
      <c r="B55" s="75" t="n"/>
      <c r="C55" s="75" t="n"/>
      <c r="D55" s="71" t="n"/>
      <c r="E55" s="71" t="n"/>
      <c r="F55" s="71" t="n"/>
      <c r="G55" s="72" t="n"/>
    </row>
    <row r="56" ht="16.5" customHeight="1">
      <c r="A56" s="62" t="inlineStr">
        <is>
          <t xml:space="preserve">                     - 학원 홈페이지(모바일, PC) 결제 &gt; 담당멘토 문의</t>
        </is>
      </c>
      <c r="B56" s="75" t="n"/>
      <c r="C56" s="75" t="n"/>
      <c r="D56" s="71" t="n"/>
      <c r="E56" s="71" t="n"/>
      <c r="F56" s="71" t="n"/>
      <c r="G56" s="72" t="n"/>
    </row>
    <row r="57" ht="16.5" customHeight="1">
      <c r="A57" s="62" t="inlineStr">
        <is>
          <t xml:space="preserve">      * 카드사별 무이자 할부 혜택 상이함</t>
        </is>
      </c>
      <c r="B57" s="76" t="n"/>
      <c r="C57" s="76" t="n"/>
      <c r="D57" s="71" t="n"/>
      <c r="E57" s="71" t="n"/>
      <c r="F57" s="71" t="n"/>
      <c r="G57" s="72" t="n"/>
    </row>
  </sheetData>
  <mergeCells count="77">
    <mergeCell ref="F29:G29"/>
    <mergeCell ref="F16:G16"/>
    <mergeCell ref="F25:G25"/>
    <mergeCell ref="B22:C22"/>
    <mergeCell ref="B31:C31"/>
    <mergeCell ref="B12:C12"/>
    <mergeCell ref="B21:C21"/>
    <mergeCell ref="F15:G15"/>
    <mergeCell ref="B14:C14"/>
    <mergeCell ref="A43:C43"/>
    <mergeCell ref="B13:C13"/>
    <mergeCell ref="B38:C38"/>
    <mergeCell ref="F23:G23"/>
    <mergeCell ref="F13:G13"/>
    <mergeCell ref="B24:C24"/>
    <mergeCell ref="E35:G35"/>
    <mergeCell ref="B32:C32"/>
    <mergeCell ref="B26:C26"/>
    <mergeCell ref="B16:C16"/>
    <mergeCell ref="B25:C25"/>
    <mergeCell ref="F10:G10"/>
    <mergeCell ref="F19:G19"/>
    <mergeCell ref="F34:G34"/>
    <mergeCell ref="B18:C18"/>
    <mergeCell ref="B27:C27"/>
    <mergeCell ref="D42:G42"/>
    <mergeCell ref="F30:G30"/>
    <mergeCell ref="B11:C11"/>
    <mergeCell ref="D44:G44"/>
    <mergeCell ref="F20:G20"/>
    <mergeCell ref="F18:G18"/>
    <mergeCell ref="F33:G33"/>
    <mergeCell ref="F17:G17"/>
    <mergeCell ref="B29:C29"/>
    <mergeCell ref="A44:C44"/>
    <mergeCell ref="B37:C37"/>
    <mergeCell ref="A40:C40"/>
    <mergeCell ref="F31:G31"/>
    <mergeCell ref="F28:G28"/>
    <mergeCell ref="F9:G9"/>
    <mergeCell ref="B15:C15"/>
    <mergeCell ref="F4:G4"/>
    <mergeCell ref="B7:C7"/>
    <mergeCell ref="D39:G39"/>
    <mergeCell ref="F7:G7"/>
    <mergeCell ref="F21:G21"/>
    <mergeCell ref="A42:C42"/>
    <mergeCell ref="E36:G36"/>
    <mergeCell ref="B17:C17"/>
    <mergeCell ref="A36:A38"/>
    <mergeCell ref="F8:G8"/>
    <mergeCell ref="B19:C19"/>
    <mergeCell ref="E37:G37"/>
    <mergeCell ref="B28:C28"/>
    <mergeCell ref="F22:G22"/>
    <mergeCell ref="B9:C9"/>
    <mergeCell ref="B30:C30"/>
    <mergeCell ref="B20:C20"/>
    <mergeCell ref="F14:G14"/>
    <mergeCell ref="F11:G11"/>
    <mergeCell ref="A41:C41"/>
    <mergeCell ref="F12:G12"/>
    <mergeCell ref="F24:G24"/>
    <mergeCell ref="B23:C23"/>
    <mergeCell ref="F32:G32"/>
    <mergeCell ref="A35:C35"/>
    <mergeCell ref="F26:G26"/>
    <mergeCell ref="B8:C8"/>
    <mergeCell ref="D40:G40"/>
    <mergeCell ref="A1:G3"/>
    <mergeCell ref="B10:C10"/>
    <mergeCell ref="A39:C39"/>
    <mergeCell ref="F27:G27"/>
    <mergeCell ref="D41:G41"/>
    <mergeCell ref="B36:C36"/>
    <mergeCell ref="D43:G43"/>
    <mergeCell ref="E38:G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8.88671875" customWidth="1" min="1" max="1"/>
    <col width="29.21875" customWidth="1" min="2" max="2"/>
    <col width="14.5546875" customWidth="1" min="3" max="3"/>
    <col width="11.6640625" customWidth="1" min="4" max="4"/>
    <col width="10.77734375" customWidth="1" min="5" max="5"/>
    <col width="8.109375" customWidth="1" min="6" max="6"/>
    <col width="10.5546875" customWidth="1" min="7" max="7"/>
    <col width="5.6640625" customWidth="1" min="8" max="8"/>
    <col width="21.6640625" customWidth="1" min="9" max="9"/>
    <col width="19.44140625" customWidth="1" min="10" max="10"/>
    <col width="20" customWidth="1" min="11" max="11"/>
    <col width="19.44140625" customWidth="1" min="12" max="12"/>
    <col width="8.88671875" customWidth="1" min="13" max="13"/>
  </cols>
  <sheetData>
    <row r="1" ht="13.5" customHeight="1">
      <c r="A1" s="1" t="inlineStr">
        <is>
          <t>모션그래픽 교육과정 수강료 안내</t>
        </is>
      </c>
      <c r="B1" s="2" t="n"/>
      <c r="C1" s="2" t="n"/>
      <c r="D1" s="2" t="n"/>
      <c r="E1" s="2" t="n"/>
      <c r="F1" s="2" t="n"/>
      <c r="G1" s="3" t="n"/>
    </row>
    <row r="2" ht="13.5" customHeight="1">
      <c r="A2" s="4" t="n"/>
      <c r="G2" s="5" t="n"/>
    </row>
    <row r="3" ht="13.5" customHeight="1">
      <c r="A3" s="4" t="n"/>
      <c r="G3" s="5" t="n"/>
    </row>
    <row r="4" ht="27" customHeight="1">
      <c r="A4" s="6" t="n"/>
      <c r="B4" s="7" t="n"/>
      <c r="C4" s="8" t="n"/>
      <c r="D4" s="9" t="n"/>
      <c r="E4" s="10" t="n"/>
      <c r="F4" s="11" t="n"/>
      <c r="G4" s="5" t="n"/>
    </row>
    <row r="5" ht="27" customHeight="1">
      <c r="A5" s="6" t="n"/>
      <c r="B5" s="7" t="n"/>
      <c r="C5" s="12" t="inlineStr">
        <is>
          <t xml:space="preserve">상 담 일 자 : </t>
        </is>
      </c>
      <c r="D5" s="13">
        <f>TODAY()</f>
        <v/>
      </c>
      <c r="E5" s="14" t="inlineStr">
        <is>
          <t xml:space="preserve">상 담 자 : </t>
        </is>
      </c>
      <c r="F5" s="15" t="inlineStr">
        <is>
          <t>안재현 교육멘토</t>
        </is>
      </c>
      <c r="G5" s="16" t="n"/>
    </row>
    <row r="6" ht="19.5" customHeight="1">
      <c r="A6" s="17" t="inlineStr">
        <is>
          <t xml:space="preserve">■  과정 및 수강료                              </t>
        </is>
      </c>
      <c r="B6" s="15" t="n"/>
      <c r="C6" s="8" t="n"/>
      <c r="D6" s="18" t="n"/>
      <c r="E6" s="12" t="inlineStr">
        <is>
          <t xml:space="preserve">연 락 처 : </t>
        </is>
      </c>
      <c r="F6" s="15" t="inlineStr">
        <is>
          <t>042-710-8921</t>
        </is>
      </c>
      <c r="G6" s="19" t="n"/>
    </row>
    <row r="7" ht="19.5" customHeight="1">
      <c r="A7" s="20" t="inlineStr">
        <is>
          <t>과 정</t>
        </is>
      </c>
      <c r="B7" s="21" t="inlineStr">
        <is>
          <t>과목명</t>
        </is>
      </c>
      <c r="C7" s="22" t="n"/>
      <c r="D7" s="21" t="inlineStr">
        <is>
          <t>COURSE</t>
        </is>
      </c>
      <c r="E7" s="21" t="inlineStr">
        <is>
          <t>DAY</t>
        </is>
      </c>
      <c r="F7" s="23" t="inlineStr">
        <is>
          <t>수강료</t>
        </is>
      </c>
      <c r="G7" s="24" t="n"/>
      <c r="I7" s="25" t="n"/>
      <c r="J7" s="26" t="n"/>
      <c r="K7" s="27" t="n"/>
      <c r="L7" s="27" t="n"/>
    </row>
    <row r="8" ht="19.5" customHeight="1">
      <c r="A8" s="28" t="n"/>
      <c r="B8" s="29" t="inlineStr">
        <is>
          <t>발상과표현</t>
        </is>
      </c>
      <c r="C8" s="22" t="n"/>
      <c r="D8" s="30" t="n">
        <v>1</v>
      </c>
      <c r="E8" s="31" t="inlineStr">
        <is>
          <t>평일 / 주말</t>
        </is>
      </c>
      <c r="F8" s="32" t="n">
        <v>400000</v>
      </c>
      <c r="G8" s="24" t="n"/>
      <c r="I8" s="25" t="n"/>
      <c r="J8" s="26" t="n"/>
      <c r="K8" s="27" t="n"/>
      <c r="L8" s="27" t="n"/>
    </row>
    <row r="9" ht="19.5" customHeight="1">
      <c r="A9" s="28" t="n"/>
      <c r="B9" s="29" t="inlineStr">
        <is>
          <t>색채학</t>
        </is>
      </c>
      <c r="C9" s="22" t="n"/>
      <c r="D9" s="30" t="n">
        <v>1</v>
      </c>
      <c r="E9" s="31" t="inlineStr">
        <is>
          <t>평일 / 주말</t>
        </is>
      </c>
      <c r="F9" s="32" t="n">
        <v>400000</v>
      </c>
      <c r="G9" s="24" t="n"/>
      <c r="I9" s="25" t="n"/>
      <c r="J9" s="26" t="n"/>
      <c r="K9" s="27" t="n"/>
      <c r="L9" s="27" t="n"/>
    </row>
    <row r="10" ht="19.5" customHeight="1">
      <c r="A10" s="28" t="n"/>
      <c r="B10" s="29" t="inlineStr">
        <is>
          <t>포토샵, 일러스트</t>
        </is>
      </c>
      <c r="C10" s="22" t="n"/>
      <c r="D10" s="30" t="n">
        <v>1</v>
      </c>
      <c r="E10" s="31" t="inlineStr">
        <is>
          <t>평일 / 주말</t>
        </is>
      </c>
      <c r="F10" s="32" t="n">
        <v>350000</v>
      </c>
      <c r="G10" s="24" t="n"/>
      <c r="I10" s="25" t="n"/>
      <c r="J10" s="26" t="n"/>
      <c r="K10" s="27" t="n"/>
      <c r="L10" s="27" t="n"/>
    </row>
    <row r="11" ht="19.5" customHeight="1">
      <c r="A11" s="28" t="n"/>
      <c r="B11" s="29" t="inlineStr">
        <is>
          <t>포토웍스, 디일러</t>
        </is>
      </c>
      <c r="C11" s="22" t="n"/>
      <c r="D11" s="30" t="n">
        <v>1</v>
      </c>
      <c r="E11" s="31" t="inlineStr">
        <is>
          <t>평일 / 주말</t>
        </is>
      </c>
      <c r="F11" s="32" t="n">
        <v>400000</v>
      </c>
      <c r="G11" s="24" t="n"/>
      <c r="I11" s="25" t="n"/>
      <c r="J11" s="26" t="n"/>
      <c r="K11" s="27" t="n"/>
      <c r="L11" s="27" t="n"/>
    </row>
    <row r="12" ht="19.5" customHeight="1">
      <c r="A12" s="28" t="n"/>
      <c r="B12" s="29" t="inlineStr">
        <is>
          <t>인포그래픽</t>
        </is>
      </c>
      <c r="C12" s="22" t="n"/>
      <c r="D12" s="30" t="n">
        <v>1</v>
      </c>
      <c r="E12" s="31" t="inlineStr">
        <is>
          <t>평일 / 주말</t>
        </is>
      </c>
      <c r="F12" s="32" t="n">
        <v>400000</v>
      </c>
      <c r="G12" s="24" t="n"/>
      <c r="I12" s="25" t="n"/>
      <c r="J12" s="26" t="n"/>
      <c r="K12" s="27" t="n"/>
      <c r="L12" s="27" t="n"/>
    </row>
    <row r="13" ht="19.5" customHeight="1">
      <c r="A13" s="28" t="n"/>
      <c r="B13" s="29" t="inlineStr">
        <is>
          <t>그래픽아트웍</t>
        </is>
      </c>
      <c r="C13" s="22" t="n"/>
      <c r="D13" s="30" t="n">
        <v>1</v>
      </c>
      <c r="E13" s="31" t="inlineStr">
        <is>
          <t>평일 / 주말</t>
        </is>
      </c>
      <c r="F13" s="32" t="n">
        <v>400000</v>
      </c>
      <c r="G13" s="24" t="n"/>
      <c r="I13" s="25" t="n"/>
      <c r="J13" s="26" t="n"/>
      <c r="K13" s="27" t="n"/>
      <c r="L13" s="27" t="n"/>
    </row>
    <row r="14" ht="19.5" customHeight="1">
      <c r="A14" s="28" t="n"/>
      <c r="B14" s="29" t="inlineStr">
        <is>
          <t>프리미어</t>
        </is>
      </c>
      <c r="C14" s="22" t="n"/>
      <c r="D14" s="30" t="n">
        <v>1</v>
      </c>
      <c r="E14" s="31" t="inlineStr">
        <is>
          <t>평일 / 주말</t>
        </is>
      </c>
      <c r="F14" s="32" t="n">
        <v>400000</v>
      </c>
      <c r="G14" s="24" t="n"/>
      <c r="I14" s="25" t="n"/>
      <c r="J14" s="26" t="n"/>
      <c r="K14" s="27" t="n"/>
      <c r="L14" s="27" t="n"/>
    </row>
    <row r="15" ht="19.5" customHeight="1">
      <c r="A15" s="28" t="n"/>
      <c r="B15" s="29" t="inlineStr">
        <is>
          <t>에펙</t>
        </is>
      </c>
      <c r="C15" s="22" t="n"/>
      <c r="D15" s="30" t="n">
        <v>1</v>
      </c>
      <c r="E15" s="31" t="inlineStr">
        <is>
          <t>평일 / 주말</t>
        </is>
      </c>
      <c r="F15" s="32" t="n">
        <v>450000</v>
      </c>
      <c r="G15" s="24" t="n"/>
      <c r="I15" s="25" t="n"/>
      <c r="J15" s="26" t="n"/>
      <c r="K15" s="27" t="n"/>
      <c r="L15" s="27" t="n"/>
    </row>
    <row r="16" ht="19.5" customHeight="1">
      <c r="A16" s="28" t="n"/>
      <c r="B16" s="29" t="inlineStr">
        <is>
          <t>모션 에펙</t>
        </is>
      </c>
      <c r="C16" s="22" t="n"/>
      <c r="D16" s="30" t="n">
        <v>1</v>
      </c>
      <c r="E16" s="31" t="inlineStr">
        <is>
          <t>평일 / 주말</t>
        </is>
      </c>
      <c r="F16" s="32" t="n">
        <v>450000</v>
      </c>
      <c r="G16" s="24" t="n"/>
      <c r="I16" s="25" t="n"/>
      <c r="J16" s="26" t="n"/>
      <c r="K16" s="27" t="n"/>
      <c r="L16" s="27" t="n"/>
    </row>
    <row r="17" ht="19.5" customHeight="1">
      <c r="A17" s="28" t="n"/>
      <c r="B17" s="29" t="inlineStr">
        <is>
          <t>어드벤스 에펙</t>
        </is>
      </c>
      <c r="C17" s="22" t="n"/>
      <c r="D17" s="30" t="n">
        <v>1</v>
      </c>
      <c r="E17" s="31" t="inlineStr">
        <is>
          <t>평일 / 주말</t>
        </is>
      </c>
      <c r="F17" s="32" t="n">
        <v>450000</v>
      </c>
      <c r="G17" s="24" t="n"/>
      <c r="I17" s="25" t="n"/>
      <c r="J17" s="26" t="n"/>
      <c r="K17" s="27" t="n"/>
      <c r="L17" s="27" t="n"/>
    </row>
    <row r="18" ht="19.5" customHeight="1">
      <c r="A18" s="28" t="n"/>
      <c r="B18" s="29" t="inlineStr">
        <is>
          <t>블렌더 1</t>
        </is>
      </c>
      <c r="C18" s="22" t="n"/>
      <c r="D18" s="30" t="n">
        <v>1</v>
      </c>
      <c r="E18" s="31" t="inlineStr">
        <is>
          <t>평일 / 주말</t>
        </is>
      </c>
      <c r="F18" s="32" t="n">
        <v>500000</v>
      </c>
      <c r="G18" s="24" t="n"/>
      <c r="I18" s="25" t="n"/>
      <c r="J18" s="26" t="n"/>
      <c r="K18" s="27" t="n"/>
      <c r="L18" s="27" t="n"/>
    </row>
    <row r="19" ht="19.5" customHeight="1">
      <c r="A19" s="28" t="n"/>
      <c r="B19" s="29" t="inlineStr">
        <is>
          <t>블렌더 2</t>
        </is>
      </c>
      <c r="C19" s="22" t="n"/>
      <c r="D19" s="30" t="n">
        <v>1</v>
      </c>
      <c r="E19" s="31" t="inlineStr">
        <is>
          <t>평일 / 주말</t>
        </is>
      </c>
      <c r="F19" s="32" t="n">
        <v>500000</v>
      </c>
      <c r="G19" s="24" t="n"/>
      <c r="I19" s="25" t="n"/>
      <c r="J19" s="26" t="n"/>
      <c r="K19" s="27" t="n"/>
      <c r="L19" s="27" t="n"/>
    </row>
    <row r="20" ht="19.5" customHeight="1">
      <c r="A20" s="28" t="n"/>
      <c r="B20" s="29" t="inlineStr">
        <is>
          <t>시네마4D 1</t>
        </is>
      </c>
      <c r="C20" s="22" t="n"/>
      <c r="D20" s="30" t="n">
        <v>1</v>
      </c>
      <c r="E20" s="31" t="inlineStr">
        <is>
          <t>평일 / 주말</t>
        </is>
      </c>
      <c r="F20" s="32" t="n">
        <v>500000</v>
      </c>
      <c r="G20" s="24" t="n"/>
      <c r="I20" s="25" t="n"/>
      <c r="J20" s="26" t="n"/>
      <c r="K20" s="27" t="n"/>
      <c r="L20" s="27" t="n"/>
    </row>
    <row r="21" ht="19.5" customHeight="1">
      <c r="A21" s="28" t="n"/>
      <c r="B21" s="29" t="inlineStr">
        <is>
          <t>시네마4D 2</t>
        </is>
      </c>
      <c r="C21" s="22" t="n"/>
      <c r="D21" s="30" t="n">
        <v>1</v>
      </c>
      <c r="E21" s="31" t="inlineStr">
        <is>
          <t>평일 / 주말</t>
        </is>
      </c>
      <c r="F21" s="32" t="n">
        <v>500000</v>
      </c>
      <c r="G21" s="24" t="n"/>
      <c r="I21" s="25" t="n"/>
      <c r="J21" s="26" t="n"/>
      <c r="K21" s="27" t="n"/>
      <c r="L21" s="27" t="n"/>
    </row>
    <row r="22" ht="19.5" customHeight="1">
      <c r="A22" s="28" t="n"/>
      <c r="B22" s="29" t="inlineStr">
        <is>
          <t>시네마4D 3</t>
        </is>
      </c>
      <c r="C22" s="22" t="n"/>
      <c r="D22" s="30" t="n">
        <v>1</v>
      </c>
      <c r="E22" s="31" t="inlineStr">
        <is>
          <t>평일 / 주말</t>
        </is>
      </c>
      <c r="F22" s="32" t="n">
        <v>500000</v>
      </c>
      <c r="G22" s="24" t="n"/>
      <c r="I22" s="25" t="n"/>
      <c r="J22" s="26" t="n"/>
      <c r="K22" s="27" t="n"/>
      <c r="L22" s="27" t="n"/>
    </row>
    <row r="23" ht="19.5" customHeight="1">
      <c r="A23" s="28" t="n"/>
      <c r="B23" s="29" t="inlineStr">
        <is>
          <t>시네마4D 4</t>
        </is>
      </c>
      <c r="C23" s="22" t="n"/>
      <c r="D23" s="30" t="n">
        <v>1</v>
      </c>
      <c r="E23" s="31" t="inlineStr">
        <is>
          <t>평일 / 주말</t>
        </is>
      </c>
      <c r="F23" s="32" t="n">
        <v>500000</v>
      </c>
      <c r="G23" s="24" t="n"/>
      <c r="I23" s="25" t="n"/>
      <c r="J23" s="26" t="n"/>
      <c r="K23" s="27" t="n"/>
      <c r="L23" s="27" t="n"/>
    </row>
    <row r="24" ht="19.5" customHeight="1">
      <c r="A24" s="28" t="n"/>
      <c r="B24" s="29" t="inlineStr">
        <is>
          <t>AI 크리에이터-영상모션</t>
        </is>
      </c>
      <c r="C24" s="22" t="n"/>
      <c r="D24" s="30" t="n">
        <v>1</v>
      </c>
      <c r="E24" s="31" t="inlineStr">
        <is>
          <t>평일 / 주말</t>
        </is>
      </c>
      <c r="F24" s="32" t="n">
        <v>500000</v>
      </c>
      <c r="G24" s="24" t="n"/>
      <c r="I24" s="25" t="n"/>
      <c r="J24" s="26" t="n"/>
      <c r="K24" s="27" t="n"/>
      <c r="L24" s="27" t="n"/>
    </row>
    <row r="25" ht="19.5" customHeight="1">
      <c r="A25" s="28" t="n"/>
      <c r="B25" s="29" t="inlineStr">
        <is>
          <t>모션 포트폴리오 1</t>
        </is>
      </c>
      <c r="C25" s="22" t="n"/>
      <c r="D25" s="30" t="n">
        <v>1</v>
      </c>
      <c r="E25" s="31" t="inlineStr">
        <is>
          <t>평일 / 주말</t>
        </is>
      </c>
      <c r="F25" s="32" t="n">
        <v>600000</v>
      </c>
      <c r="G25" s="24" t="n"/>
      <c r="I25" s="25" t="n"/>
      <c r="J25" s="26" t="n"/>
      <c r="K25" s="27" t="n"/>
      <c r="L25" s="27" t="n"/>
    </row>
    <row r="26" ht="19.5" customHeight="1">
      <c r="A26" s="28" t="n"/>
      <c r="B26" s="29" t="inlineStr">
        <is>
          <t>모션 포트폴리오 2</t>
        </is>
      </c>
      <c r="C26" s="22" t="n"/>
      <c r="D26" s="30" t="n">
        <v>1</v>
      </c>
      <c r="E26" s="31" t="inlineStr">
        <is>
          <t>평일 / 주말</t>
        </is>
      </c>
      <c r="F26" s="32" t="n">
        <v>600000</v>
      </c>
      <c r="G26" s="24" t="n"/>
      <c r="I26" s="25" t="n"/>
      <c r="J26" s="26" t="n"/>
      <c r="K26" s="27" t="n"/>
      <c r="L26" s="27" t="n"/>
    </row>
    <row r="27" ht="19.5" customHeight="1">
      <c r="A27" s="28" t="n"/>
      <c r="B27" s="29" t="inlineStr">
        <is>
          <t>모션 포트폴리오 3</t>
        </is>
      </c>
      <c r="C27" s="22" t="n"/>
      <c r="D27" s="30" t="n">
        <v>1</v>
      </c>
      <c r="E27" s="31" t="inlineStr">
        <is>
          <t>평일 / 주말</t>
        </is>
      </c>
      <c r="F27" s="32" t="n">
        <v>600000</v>
      </c>
      <c r="G27" s="24" t="n"/>
      <c r="I27" s="25" t="n"/>
      <c r="J27" s="26" t="n"/>
      <c r="K27" s="27" t="n"/>
      <c r="L27" s="27" t="n"/>
    </row>
    <row r="28" ht="33.6" customHeight="1">
      <c r="A28" s="33" t="inlineStr">
        <is>
          <t>따즈아</t>
        </is>
      </c>
      <c r="B28" s="34" t="inlineStr">
        <is>
          <t>온라인강의</t>
        </is>
      </c>
      <c r="C28" s="35" t="n">
        <v>0</v>
      </c>
      <c r="D28" s="36">
        <f>SUM(D8:D27)</f>
        <v/>
      </c>
      <c r="E28" s="37" t="inlineStr">
        <is>
          <t>원수강료</t>
        </is>
      </c>
      <c r="F28" s="38">
        <f>SUM(F8:F27)</f>
        <v/>
      </c>
      <c r="G28" s="39" t="n"/>
      <c r="I28" s="40" t="n"/>
      <c r="J28" s="40" t="n"/>
      <c r="K28" s="40" t="n"/>
      <c r="L28" s="40" t="n"/>
    </row>
    <row r="29" ht="19.5" customHeight="1">
      <c r="A29" s="41" t="inlineStr">
        <is>
          <t>■ 교육과정 할인내역</t>
        </is>
      </c>
      <c r="B29" s="42" t="n"/>
      <c r="C29" s="43" t="n"/>
      <c r="D29" s="44" t="n"/>
      <c r="E29" s="44" t="n"/>
      <c r="F29" s="45" t="n"/>
      <c r="G29" s="5" t="n"/>
      <c r="I29" s="40" t="n"/>
      <c r="J29" s="40" t="n"/>
      <c r="K29" s="40" t="n"/>
      <c r="L29" s="40" t="n"/>
    </row>
    <row r="30" ht="19.5" customHeight="1">
      <c r="A30" s="20" t="inlineStr">
        <is>
          <t>세부할인 내역</t>
        </is>
      </c>
      <c r="B30" s="46" t="n"/>
      <c r="C30" s="22" t="n"/>
      <c r="D30" s="21" t="inlineStr">
        <is>
          <t>할인율(%)</t>
        </is>
      </c>
      <c r="E30" s="47" t="inlineStr">
        <is>
          <t>할인금액</t>
        </is>
      </c>
      <c r="F30" s="46" t="n"/>
      <c r="G30" s="24" t="n"/>
    </row>
    <row r="31" ht="19.5" customHeight="1">
      <c r="A31" s="48" t="inlineStr">
        <is>
          <t>할인
내역</t>
        </is>
      </c>
      <c r="B31" s="49" t="inlineStr">
        <is>
          <t>겨울방학 할인</t>
        </is>
      </c>
      <c r="C31" s="46" t="n"/>
      <c r="D31" s="50" t="n">
        <v>0.15</v>
      </c>
      <c r="E31" s="51">
        <f>F28*D31</f>
        <v/>
      </c>
      <c r="F31" s="46" t="n"/>
      <c r="G31" s="24" t="n"/>
    </row>
    <row r="32" ht="19.5" customHeight="1">
      <c r="A32" s="52" t="n"/>
      <c r="B32" s="49" t="inlineStr">
        <is>
          <t>멘토직권 할인</t>
        </is>
      </c>
      <c r="C32" s="46" t="n"/>
      <c r="D32" s="53" t="n">
        <v>0.1</v>
      </c>
      <c r="E32" s="54">
        <f>(F28*(1-D31)*D32)</f>
        <v/>
      </c>
      <c r="F32" s="46" t="n"/>
      <c r="G32" s="24" t="n"/>
    </row>
    <row r="33" ht="19.5" customHeight="1">
      <c r="A33" s="55" t="n"/>
      <c r="B33" s="49" t="inlineStr">
        <is>
          <t>잔여석 지원 할인</t>
        </is>
      </c>
      <c r="C33" s="46" t="n"/>
      <c r="D33" s="56" t="n">
        <v>0.15</v>
      </c>
      <c r="E33" s="51">
        <f>(F28*(1-D31)*(1-D32)*D33)</f>
        <v/>
      </c>
      <c r="F33" s="46" t="n"/>
      <c r="G33" s="24" t="n"/>
      <c r="H33" s="40" t="n"/>
      <c r="I33" s="25" t="n"/>
      <c r="J33" s="26" t="n"/>
      <c r="K33" s="27" t="n"/>
      <c r="L33" s="27" t="n"/>
    </row>
    <row r="34" ht="19.5" customHeight="1">
      <c r="A34" s="57" t="inlineStr">
        <is>
          <t xml:space="preserve">총 할인금액 (수강지원)  </t>
        </is>
      </c>
      <c r="B34" s="46" t="n"/>
      <c r="C34" s="22" t="n"/>
      <c r="D34" s="58">
        <f>ROUNDUP(SUM(E31:G33),-3)</f>
        <v/>
      </c>
      <c r="E34" s="46" t="n"/>
      <c r="F34" s="46" t="n"/>
      <c r="G34" s="24" t="n"/>
      <c r="H34" s="40" t="n"/>
      <c r="I34" s="25" t="n"/>
      <c r="J34" s="26" t="n"/>
      <c r="K34" s="27" t="n"/>
      <c r="L34" s="27" t="n"/>
    </row>
    <row r="35" ht="23.25" customHeight="1">
      <c r="A35" s="59" t="inlineStr">
        <is>
          <t xml:space="preserve">납부 해야할 수강료 (할인적용)  </t>
        </is>
      </c>
      <c r="B35" s="46" t="n"/>
      <c r="C35" s="22" t="n"/>
      <c r="D35" s="60">
        <f>F28-D34</f>
        <v/>
      </c>
      <c r="E35" s="46" t="n"/>
      <c r="F35" s="46" t="n"/>
      <c r="G35" s="24" t="n"/>
      <c r="H35" s="40" t="n"/>
      <c r="I35" s="40" t="n"/>
      <c r="J35" s="40" t="n"/>
      <c r="K35" s="40" t="n"/>
      <c r="L35" s="40" t="n"/>
    </row>
    <row r="36" ht="23.25" customHeight="1">
      <c r="A36" s="59" t="inlineStr">
        <is>
          <t>총 등록금액</t>
        </is>
      </c>
      <c r="B36" s="46" t="n"/>
      <c r="C36" s="22" t="n"/>
      <c r="D36" s="60">
        <f>SUM(D35+C28)</f>
        <v/>
      </c>
      <c r="E36" s="46" t="n"/>
      <c r="F36" s="46" t="n"/>
      <c r="G36" s="24" t="n"/>
      <c r="H36" s="40" t="n"/>
    </row>
    <row r="37" ht="23.25" customHeight="1">
      <c r="A37" s="59" t="inlineStr">
        <is>
          <t>3개월 할부 진행시</t>
        </is>
      </c>
      <c r="B37" s="46" t="n"/>
      <c r="C37" s="22" t="n"/>
      <c r="D37" s="61">
        <f>SUM(D36/3)</f>
        <v/>
      </c>
      <c r="E37" s="46" t="n"/>
      <c r="F37" s="46" t="n"/>
      <c r="G37" s="24" t="n"/>
      <c r="H37" s="40" t="n"/>
    </row>
    <row r="38" ht="23.25" customHeight="1">
      <c r="A38" s="59" t="inlineStr">
        <is>
          <t>6개월 할부 진행시</t>
        </is>
      </c>
      <c r="B38" s="46" t="n"/>
      <c r="C38" s="22" t="n"/>
      <c r="D38" s="61">
        <f>SUM(D36/6)</f>
        <v/>
      </c>
      <c r="E38" s="46" t="n"/>
      <c r="F38" s="46" t="n"/>
      <c r="G38" s="24" t="n"/>
      <c r="H38" s="40" t="n"/>
    </row>
    <row r="39" ht="23.25" customHeight="1">
      <c r="A39" s="59" t="inlineStr">
        <is>
          <t>1과목당 수강료</t>
        </is>
      </c>
      <c r="B39" s="46" t="n"/>
      <c r="C39" s="22" t="n"/>
      <c r="D39" s="61">
        <f>SUM(D35/D28)</f>
        <v/>
      </c>
      <c r="E39" s="46" t="n"/>
      <c r="F39" s="46" t="n"/>
      <c r="G39" s="24" t="n"/>
      <c r="H39" s="40" t="n"/>
    </row>
    <row r="40" ht="16.5" customHeight="1">
      <c r="A40" s="62" t="n"/>
      <c r="B40" s="63" t="n"/>
      <c r="G40" s="64" t="n"/>
      <c r="I40" s="65" t="n"/>
      <c r="J40" s="40" t="n"/>
      <c r="K40" s="40" t="n"/>
      <c r="L40" s="40" t="n"/>
    </row>
    <row r="41" ht="16.5" customHeight="1">
      <c r="A41" s="66" t="inlineStr">
        <is>
          <t>■ 안내사항</t>
        </is>
      </c>
      <c r="B41" s="63" t="n"/>
      <c r="C41" s="63" t="n"/>
      <c r="D41" s="63" t="n"/>
      <c r="E41" s="63" t="n"/>
      <c r="F41" s="63" t="n"/>
      <c r="G41" s="64" t="n"/>
      <c r="I41" s="65" t="n"/>
      <c r="J41" s="40" t="n"/>
      <c r="K41" s="40" t="n"/>
      <c r="L41" s="40" t="n"/>
    </row>
    <row r="42" ht="16.5" customHeight="1">
      <c r="A42" s="62" t="inlineStr">
        <is>
          <t xml:space="preserve">   1) 위 수강료는 학원내 게시되어 있는 수강료 기준이며, 교육청에 신고된 금액입니다.</t>
        </is>
      </c>
      <c r="B42" s="63" t="n"/>
      <c r="C42" s="63" t="n"/>
      <c r="D42" s="63" t="n"/>
      <c r="E42" s="63" t="n"/>
      <c r="F42" s="63" t="n"/>
      <c r="G42" s="64" t="n"/>
      <c r="I42" s="40" t="n"/>
      <c r="J42" s="40" t="n"/>
      <c r="K42" s="40" t="n"/>
      <c r="L42" s="40" t="n"/>
    </row>
    <row r="43" ht="16.5" customHeight="1">
      <c r="A43" s="62" t="inlineStr">
        <is>
          <t xml:space="preserve">   2) 위 할인내역은 해당사항에 한해 적용되며, 할인내용에 해당될 시 증명서류를 증빙해야 할인 받을 수 있습니다.</t>
        </is>
      </c>
      <c r="B43" s="63" t="n"/>
      <c r="C43" s="63" t="n"/>
      <c r="D43" s="63" t="n"/>
      <c r="E43" s="63" t="n"/>
      <c r="F43" s="63" t="n"/>
      <c r="G43" s="64" t="n"/>
      <c r="I43" s="40" t="n"/>
      <c r="J43" s="40" t="n"/>
      <c r="K43" s="40" t="n"/>
      <c r="L43" s="40" t="n"/>
    </row>
    <row r="44" ht="16.5" customHeight="1">
      <c r="A44" s="62" t="inlineStr">
        <is>
          <t xml:space="preserve">   3) 할인금액은 수강과목지원(무료)으로 진행됩니다.</t>
        </is>
      </c>
      <c r="B44" s="44" t="n"/>
      <c r="C44" s="44" t="n"/>
      <c r="D44" s="67" t="n"/>
      <c r="E44" s="67" t="n"/>
      <c r="F44" s="68" t="n"/>
      <c r="G44" s="69" t="n"/>
    </row>
    <row r="45" ht="16.5" customHeight="1">
      <c r="A45" s="62" t="n"/>
      <c r="B45" s="44" t="n"/>
      <c r="C45" s="44" t="n"/>
      <c r="D45" s="67" t="n"/>
      <c r="E45" s="67" t="n"/>
      <c r="F45" s="68" t="n"/>
      <c r="G45" s="69" t="n"/>
    </row>
    <row r="46" ht="16.5" customHeight="1">
      <c r="A46" s="66" t="inlineStr">
        <is>
          <t>■ 수강료 납부 안내</t>
        </is>
      </c>
      <c r="B46" s="70" t="n"/>
      <c r="C46" s="70" t="n"/>
      <c r="D46" s="71" t="n"/>
      <c r="E46" s="71" t="n"/>
      <c r="F46" s="71" t="n"/>
      <c r="G46" s="72" t="n"/>
    </row>
    <row r="47" ht="16.5" customHeight="1">
      <c r="A47" s="62" t="inlineStr">
        <is>
          <t xml:space="preserve">    1) 현금수납 - 학원 안내접수처에서 접수 및 결제(현금영수증 발행)</t>
        </is>
      </c>
      <c r="B47" s="73" t="n"/>
      <c r="C47" s="73" t="n"/>
      <c r="D47" s="71" t="n"/>
      <c r="E47" s="71" t="n"/>
      <c r="F47" s="71" t="n"/>
      <c r="G47" s="72" t="n"/>
    </row>
    <row r="48" ht="16.5" customHeight="1">
      <c r="A48" s="62" t="inlineStr">
        <is>
          <t xml:space="preserve">    2) 온라인입금(계좌이체) 결제(현금영수증 발행)</t>
        </is>
      </c>
      <c r="B48" s="73" t="n"/>
      <c r="C48" s="73" t="n"/>
      <c r="D48" s="71" t="n"/>
      <c r="E48" s="71" t="n"/>
      <c r="F48" s="71" t="n"/>
      <c r="G48" s="72" t="n"/>
    </row>
    <row r="49" ht="16.5" customHeight="1">
      <c r="A49" s="66" t="n"/>
      <c r="B49" s="74" t="n"/>
      <c r="C49" s="74" t="n"/>
      <c r="D49" s="71" t="n"/>
      <c r="E49" s="71" t="n"/>
      <c r="F49" s="71" t="n"/>
      <c r="G49" s="72" t="n"/>
    </row>
    <row r="50" ht="16.5" customHeight="1">
      <c r="A50" s="62" t="inlineStr">
        <is>
          <t xml:space="preserve">    3) 카드수납 - 학원 안내접수처에서 접수 및 결제 or 카드번호 결제(키인결제)</t>
        </is>
      </c>
      <c r="B50" s="75" t="n"/>
      <c r="C50" s="75" t="n"/>
      <c r="D50" s="71" t="n"/>
      <c r="E50" s="71" t="n"/>
      <c r="F50" s="71" t="n"/>
      <c r="G50" s="72" t="n"/>
    </row>
    <row r="51" ht="16.5" customHeight="1">
      <c r="A51" s="62" t="inlineStr">
        <is>
          <t xml:space="preserve">                     - 학원 홈페이지(모바일, PC) 결제 &gt; 담당멘토 문의</t>
        </is>
      </c>
      <c r="B51" s="75" t="n"/>
      <c r="C51" s="75" t="n"/>
      <c r="D51" s="71" t="n"/>
      <c r="E51" s="71" t="n"/>
      <c r="F51" s="71" t="n"/>
      <c r="G51" s="72" t="n"/>
    </row>
    <row r="52" ht="16.5" customHeight="1">
      <c r="A52" s="62" t="inlineStr">
        <is>
          <t xml:space="preserve">      * 카드사별 무이자 할부 혜택 상이함</t>
        </is>
      </c>
      <c r="B52" s="76" t="n"/>
      <c r="C52" s="76" t="n"/>
      <c r="D52" s="71" t="n"/>
      <c r="E52" s="71" t="n"/>
      <c r="F52" s="71" t="n"/>
      <c r="G52" s="72" t="n"/>
    </row>
  </sheetData>
  <mergeCells count="67">
    <mergeCell ref="F4:G4"/>
    <mergeCell ref="F11:G11"/>
    <mergeCell ref="B16:C16"/>
    <mergeCell ref="B7:C7"/>
    <mergeCell ref="B25:C25"/>
    <mergeCell ref="F10:G10"/>
    <mergeCell ref="F16:G16"/>
    <mergeCell ref="F29:G29"/>
    <mergeCell ref="A37:C37"/>
    <mergeCell ref="F19:G19"/>
    <mergeCell ref="F25:G25"/>
    <mergeCell ref="E31:G31"/>
    <mergeCell ref="D39:G39"/>
    <mergeCell ref="B22:C22"/>
    <mergeCell ref="B31:C31"/>
    <mergeCell ref="E30:G30"/>
    <mergeCell ref="B18:C18"/>
    <mergeCell ref="B27:C27"/>
    <mergeCell ref="D38:G38"/>
    <mergeCell ref="F7:G7"/>
    <mergeCell ref="B12:C12"/>
    <mergeCell ref="F21:G21"/>
    <mergeCell ref="B21:C21"/>
    <mergeCell ref="F12:G12"/>
    <mergeCell ref="F24:G24"/>
    <mergeCell ref="B11:C11"/>
    <mergeCell ref="F15:G15"/>
    <mergeCell ref="D35:G35"/>
    <mergeCell ref="F20:G20"/>
    <mergeCell ref="F18:G18"/>
    <mergeCell ref="B23:C23"/>
    <mergeCell ref="B14:C14"/>
    <mergeCell ref="D34:G34"/>
    <mergeCell ref="B17:C17"/>
    <mergeCell ref="A31:A33"/>
    <mergeCell ref="F26:G26"/>
    <mergeCell ref="B8:C8"/>
    <mergeCell ref="A35:C35"/>
    <mergeCell ref="F17:G17"/>
    <mergeCell ref="A38:C38"/>
    <mergeCell ref="F8:G8"/>
    <mergeCell ref="B13:C13"/>
    <mergeCell ref="E32:G32"/>
    <mergeCell ref="A1:G3"/>
    <mergeCell ref="D36:G36"/>
    <mergeCell ref="B19:C19"/>
    <mergeCell ref="B10:C10"/>
    <mergeCell ref="F23:G23"/>
    <mergeCell ref="F22:G22"/>
    <mergeCell ref="F28:G28"/>
    <mergeCell ref="A30:C30"/>
    <mergeCell ref="F13:G13"/>
    <mergeCell ref="B9:C9"/>
    <mergeCell ref="A34:C34"/>
    <mergeCell ref="F27:G27"/>
    <mergeCell ref="A39:C39"/>
    <mergeCell ref="F9:G9"/>
    <mergeCell ref="B24:C24"/>
    <mergeCell ref="A36:C36"/>
    <mergeCell ref="B15:C15"/>
    <mergeCell ref="B33:C33"/>
    <mergeCell ref="E33:G33"/>
    <mergeCell ref="B20:C20"/>
    <mergeCell ref="B32:C32"/>
    <mergeCell ref="F14:G14"/>
    <mergeCell ref="B26:C26"/>
    <mergeCell ref="D37:G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8.88671875" customWidth="1" min="1" max="1"/>
    <col width="29.21875" customWidth="1" min="2" max="2"/>
    <col width="14.5546875" customWidth="1" min="3" max="3"/>
    <col width="11.6640625" customWidth="1" min="4" max="4"/>
    <col width="10.77734375" customWidth="1" min="5" max="5"/>
    <col width="8.109375" customWidth="1" min="6" max="6"/>
    <col width="10.5546875" customWidth="1" min="7" max="7"/>
    <col width="5.6640625" customWidth="1" min="8" max="8"/>
    <col width="21.6640625" customWidth="1" min="9" max="9"/>
    <col width="19.44140625" customWidth="1" min="10" max="10"/>
    <col width="20" customWidth="1" min="11" max="11"/>
    <col width="19.44140625" customWidth="1" min="12" max="12"/>
    <col width="8.88671875" customWidth="1" min="13" max="13"/>
  </cols>
  <sheetData>
    <row r="1" ht="13.5" customHeight="1">
      <c r="A1" s="1" t="inlineStr">
        <is>
          <t>CG·VFX (마야) 교육과정 수강료 안내</t>
        </is>
      </c>
      <c r="B1" s="2" t="n"/>
      <c r="C1" s="2" t="n"/>
      <c r="D1" s="2" t="n"/>
      <c r="E1" s="2" t="n"/>
      <c r="F1" s="2" t="n"/>
      <c r="G1" s="3" t="n"/>
    </row>
    <row r="2" ht="13.5" customHeight="1">
      <c r="A2" s="4" t="n"/>
      <c r="G2" s="5" t="n"/>
    </row>
    <row r="3" ht="13.5" customHeight="1">
      <c r="A3" s="4" t="n"/>
      <c r="G3" s="5" t="n"/>
    </row>
    <row r="4" ht="27" customHeight="1">
      <c r="A4" s="6" t="n"/>
      <c r="B4" s="7" t="n"/>
      <c r="C4" s="8" t="n"/>
      <c r="D4" s="9" t="n"/>
      <c r="E4" s="10" t="n"/>
      <c r="F4" s="11" t="n"/>
      <c r="G4" s="5" t="n"/>
    </row>
    <row r="5" ht="27" customHeight="1">
      <c r="A5" s="6" t="n"/>
      <c r="B5" s="7" t="n"/>
      <c r="C5" s="12" t="inlineStr">
        <is>
          <t xml:space="preserve">상 담 일 자 : </t>
        </is>
      </c>
      <c r="D5" s="13">
        <f>TODAY()</f>
        <v/>
      </c>
      <c r="E5" s="14" t="inlineStr">
        <is>
          <t xml:space="preserve">상 담 자 : </t>
        </is>
      </c>
      <c r="F5" s="15" t="inlineStr">
        <is>
          <t>안재현 교육멘토</t>
        </is>
      </c>
      <c r="G5" s="16" t="n"/>
    </row>
    <row r="6" ht="19.5" customHeight="1">
      <c r="A6" s="17" t="inlineStr">
        <is>
          <t xml:space="preserve">■  과정 및 수강료                              </t>
        </is>
      </c>
      <c r="B6" s="15" t="n"/>
      <c r="C6" s="8" t="n"/>
      <c r="D6" s="18" t="n"/>
      <c r="E6" s="12" t="inlineStr">
        <is>
          <t xml:space="preserve">연 락 처 : </t>
        </is>
      </c>
      <c r="F6" s="15" t="inlineStr">
        <is>
          <t>042-710-8921</t>
        </is>
      </c>
      <c r="G6" s="19" t="n"/>
    </row>
    <row r="7" ht="19.5" customHeight="1">
      <c r="A7" s="20" t="inlineStr">
        <is>
          <t>과 정</t>
        </is>
      </c>
      <c r="B7" s="21" t="inlineStr">
        <is>
          <t>과목명</t>
        </is>
      </c>
      <c r="C7" s="22" t="n"/>
      <c r="D7" s="21" t="inlineStr">
        <is>
          <t>COURSE</t>
        </is>
      </c>
      <c r="E7" s="21" t="inlineStr">
        <is>
          <t>DAY</t>
        </is>
      </c>
      <c r="F7" s="23" t="inlineStr">
        <is>
          <t>수강료</t>
        </is>
      </c>
      <c r="G7" s="24" t="n"/>
      <c r="I7" s="25" t="n"/>
      <c r="J7" s="26" t="n"/>
      <c r="K7" s="27" t="n"/>
      <c r="L7" s="27" t="n"/>
    </row>
    <row r="8" ht="19.5" customHeight="1">
      <c r="A8" s="28" t="n"/>
      <c r="B8" s="29" t="inlineStr">
        <is>
          <t>발상과표현</t>
        </is>
      </c>
      <c r="C8" s="22" t="n"/>
      <c r="D8" s="30" t="n">
        <v>1</v>
      </c>
      <c r="E8" s="31" t="inlineStr">
        <is>
          <t>평일 / 주말</t>
        </is>
      </c>
      <c r="F8" s="32" t="n">
        <v>400000</v>
      </c>
      <c r="G8" s="24" t="n"/>
      <c r="I8" s="25" t="n"/>
      <c r="J8" s="26" t="n"/>
      <c r="K8" s="27" t="n"/>
      <c r="L8" s="27" t="n"/>
    </row>
    <row r="9" ht="19.5" customHeight="1">
      <c r="A9" s="28" t="n"/>
      <c r="B9" s="29" t="inlineStr">
        <is>
          <t>색채학</t>
        </is>
      </c>
      <c r="C9" s="22" t="n"/>
      <c r="D9" s="30" t="n">
        <v>1</v>
      </c>
      <c r="E9" s="31" t="inlineStr">
        <is>
          <t>평일 / 주말</t>
        </is>
      </c>
      <c r="F9" s="32" t="n">
        <v>400000</v>
      </c>
      <c r="G9" s="24" t="n"/>
      <c r="I9" s="25" t="n"/>
      <c r="J9" s="26" t="n"/>
      <c r="K9" s="27" t="n"/>
      <c r="L9" s="27" t="n"/>
    </row>
    <row r="10" ht="19.5" customHeight="1">
      <c r="A10" s="28" t="n"/>
      <c r="B10" s="29" t="inlineStr">
        <is>
          <t>해부학</t>
        </is>
      </c>
      <c r="C10" s="22" t="n"/>
      <c r="D10" s="30" t="n">
        <v>1</v>
      </c>
      <c r="E10" s="31" t="inlineStr">
        <is>
          <t>평일 / 주말</t>
        </is>
      </c>
      <c r="F10" s="32" t="n">
        <v>400000</v>
      </c>
      <c r="G10" s="24" t="n"/>
      <c r="I10" s="25" t="n"/>
      <c r="J10" s="26" t="n"/>
      <c r="K10" s="27" t="n"/>
      <c r="L10" s="27" t="n"/>
    </row>
    <row r="11" ht="19.5" customHeight="1">
      <c r="A11" s="28" t="n"/>
      <c r="B11" s="29" t="inlineStr">
        <is>
          <t>포토샵, 일러스트</t>
        </is>
      </c>
      <c r="C11" s="22" t="n"/>
      <c r="D11" s="30" t="n">
        <v>1</v>
      </c>
      <c r="E11" s="31" t="inlineStr">
        <is>
          <t>평일 / 주말</t>
        </is>
      </c>
      <c r="F11" s="32" t="n">
        <v>350000</v>
      </c>
      <c r="G11" s="24" t="n"/>
      <c r="I11" s="25" t="n"/>
      <c r="J11" s="26" t="n"/>
      <c r="K11" s="27" t="n"/>
      <c r="L11" s="27" t="n"/>
    </row>
    <row r="12" ht="19.5" customHeight="1">
      <c r="A12" s="28" t="n"/>
      <c r="B12" s="29" t="inlineStr">
        <is>
          <t>포토웍스, 디일러</t>
        </is>
      </c>
      <c r="C12" s="22" t="n"/>
      <c r="D12" s="30" t="n">
        <v>1</v>
      </c>
      <c r="E12" s="31" t="inlineStr">
        <is>
          <t>평일 / 주말</t>
        </is>
      </c>
      <c r="F12" s="32" t="n">
        <v>400000</v>
      </c>
      <c r="G12" s="24" t="n"/>
      <c r="I12" s="25" t="n"/>
      <c r="J12" s="26" t="n"/>
      <c r="K12" s="27" t="n"/>
      <c r="L12" s="27" t="n"/>
    </row>
    <row r="13" ht="19.5" customHeight="1">
      <c r="A13" s="28" t="n"/>
      <c r="B13" s="29" t="inlineStr">
        <is>
          <t>프리미어</t>
        </is>
      </c>
      <c r="C13" s="22" t="n"/>
      <c r="D13" s="30" t="n">
        <v>1</v>
      </c>
      <c r="E13" s="31" t="inlineStr">
        <is>
          <t>평일 / 주말</t>
        </is>
      </c>
      <c r="F13" s="32" t="n">
        <v>400000</v>
      </c>
      <c r="G13" s="24" t="n"/>
      <c r="I13" s="25" t="n"/>
      <c r="J13" s="26" t="n"/>
      <c r="K13" s="27" t="n"/>
      <c r="L13" s="27" t="n"/>
    </row>
    <row r="14" ht="19.5" customHeight="1">
      <c r="A14" s="28" t="n"/>
      <c r="B14" s="29" t="inlineStr">
        <is>
          <t>에펙</t>
        </is>
      </c>
      <c r="C14" s="22" t="n"/>
      <c r="D14" s="30" t="n">
        <v>1</v>
      </c>
      <c r="E14" s="31" t="inlineStr">
        <is>
          <t>평일 / 주말</t>
        </is>
      </c>
      <c r="F14" s="32" t="n">
        <v>450000</v>
      </c>
      <c r="G14" s="24" t="n"/>
      <c r="I14" s="25" t="n"/>
      <c r="J14" s="26" t="n"/>
      <c r="K14" s="27" t="n"/>
      <c r="L14" s="27" t="n"/>
    </row>
    <row r="15" ht="19.5" customHeight="1">
      <c r="A15" s="28" t="n"/>
      <c r="B15" s="29" t="inlineStr">
        <is>
          <t>모션 에펙</t>
        </is>
      </c>
      <c r="C15" s="22" t="n"/>
      <c r="D15" s="30" t="n">
        <v>1</v>
      </c>
      <c r="E15" s="31" t="inlineStr">
        <is>
          <t>평일 / 주말</t>
        </is>
      </c>
      <c r="F15" s="32" t="n">
        <v>450000</v>
      </c>
      <c r="G15" s="24" t="n"/>
      <c r="I15" s="25" t="n"/>
      <c r="J15" s="26" t="n"/>
      <c r="K15" s="27" t="n"/>
      <c r="L15" s="27" t="n"/>
    </row>
    <row r="16" ht="19.5" customHeight="1">
      <c r="A16" s="28" t="n"/>
      <c r="B16" s="29" t="inlineStr">
        <is>
          <t>어드벤스 에펙</t>
        </is>
      </c>
      <c r="C16" s="22" t="n"/>
      <c r="D16" s="30" t="n">
        <v>1</v>
      </c>
      <c r="E16" s="31" t="inlineStr">
        <is>
          <t>평일 / 주말</t>
        </is>
      </c>
      <c r="F16" s="32" t="n">
        <v>450000</v>
      </c>
      <c r="G16" s="24" t="n"/>
      <c r="I16" s="25" t="n"/>
      <c r="J16" s="26" t="n"/>
      <c r="K16" s="27" t="n"/>
      <c r="L16" s="27" t="n"/>
    </row>
    <row r="17" ht="19.5" customHeight="1">
      <c r="A17" s="28" t="n"/>
      <c r="B17" s="29" t="inlineStr">
        <is>
          <t>블렌더 1</t>
        </is>
      </c>
      <c r="C17" s="22" t="n"/>
      <c r="D17" s="30" t="n">
        <v>1</v>
      </c>
      <c r="E17" s="31" t="inlineStr">
        <is>
          <t>평일 / 주말</t>
        </is>
      </c>
      <c r="F17" s="32" t="n">
        <v>500000</v>
      </c>
      <c r="G17" s="24" t="n"/>
      <c r="I17" s="25" t="n"/>
      <c r="J17" s="26" t="n"/>
      <c r="K17" s="27" t="n"/>
      <c r="L17" s="27" t="n"/>
    </row>
    <row r="18" ht="19.5" customHeight="1">
      <c r="A18" s="28" t="n"/>
      <c r="B18" s="29" t="inlineStr">
        <is>
          <t>블렌더 2</t>
        </is>
      </c>
      <c r="C18" s="22" t="n"/>
      <c r="D18" s="30" t="n">
        <v>1</v>
      </c>
      <c r="E18" s="31" t="inlineStr">
        <is>
          <t>평일 / 주말</t>
        </is>
      </c>
      <c r="F18" s="32" t="n">
        <v>500000</v>
      </c>
      <c r="G18" s="24" t="n"/>
      <c r="I18" s="25" t="n"/>
      <c r="J18" s="26" t="n"/>
      <c r="K18" s="27" t="n"/>
      <c r="L18" s="27" t="n"/>
    </row>
    <row r="19" ht="19.5" customHeight="1">
      <c r="A19" s="28" t="n"/>
      <c r="B19" s="29" t="inlineStr">
        <is>
          <t>마야 1 (기초&amp;모델링)</t>
        </is>
      </c>
      <c r="C19" s="22" t="n"/>
      <c r="D19" s="30" t="n">
        <v>1</v>
      </c>
      <c r="E19" s="31" t="inlineStr">
        <is>
          <t>평일 / 주말</t>
        </is>
      </c>
      <c r="F19" s="32" t="n">
        <v>600000</v>
      </c>
      <c r="G19" s="24" t="n"/>
      <c r="I19" s="25" t="n"/>
      <c r="J19" s="26" t="n"/>
      <c r="K19" s="27" t="n"/>
      <c r="L19" s="27" t="n"/>
    </row>
    <row r="20" ht="19.5" customHeight="1">
      <c r="A20" s="28" t="n"/>
      <c r="B20" s="29" t="inlineStr">
        <is>
          <t>마야 2 (렌더링/텍스쳐)</t>
        </is>
      </c>
      <c r="C20" s="22" t="n"/>
      <c r="D20" s="30" t="n">
        <v>1</v>
      </c>
      <c r="E20" s="31" t="inlineStr">
        <is>
          <t>평일 / 주말</t>
        </is>
      </c>
      <c r="F20" s="32" t="n">
        <v>600000</v>
      </c>
      <c r="G20" s="24" t="n"/>
      <c r="I20" s="25" t="n"/>
      <c r="J20" s="26" t="n"/>
      <c r="K20" s="27" t="n"/>
      <c r="L20" s="27" t="n"/>
    </row>
    <row r="21" ht="19.5" customHeight="1">
      <c r="A21" s="28" t="n"/>
      <c r="B21" s="29" t="inlineStr">
        <is>
          <t>마야 3 (리깅/언리얼)</t>
        </is>
      </c>
      <c r="C21" s="22" t="n"/>
      <c r="D21" s="30" t="n">
        <v>1</v>
      </c>
      <c r="E21" s="31" t="inlineStr">
        <is>
          <t>평일 / 주말</t>
        </is>
      </c>
      <c r="F21" s="32" t="n">
        <v>600000</v>
      </c>
      <c r="G21" s="24" t="n"/>
      <c r="I21" s="25" t="n"/>
      <c r="J21" s="26" t="n"/>
      <c r="K21" s="27" t="n"/>
      <c r="L21" s="27" t="n"/>
    </row>
    <row r="22" ht="19.5" customHeight="1">
      <c r="A22" s="28" t="n"/>
      <c r="B22" s="29" t="inlineStr">
        <is>
          <t>마야 4 (컴포지팅/트랙킹)</t>
        </is>
      </c>
      <c r="C22" s="22" t="n"/>
      <c r="D22" s="30" t="n">
        <v>1</v>
      </c>
      <c r="E22" s="31" t="inlineStr">
        <is>
          <t>평일 / 주말</t>
        </is>
      </c>
      <c r="F22" s="32" t="n">
        <v>600000</v>
      </c>
      <c r="G22" s="24" t="n"/>
      <c r="I22" s="25" t="n"/>
      <c r="J22" s="26" t="n"/>
      <c r="K22" s="27" t="n"/>
      <c r="L22" s="27" t="n"/>
    </row>
    <row r="23" ht="19.5" customHeight="1">
      <c r="A23" s="28" t="n"/>
      <c r="B23" s="29" t="inlineStr">
        <is>
          <t>마야 5 (모델링심화/Z-Brush)</t>
        </is>
      </c>
      <c r="C23" s="22" t="n"/>
      <c r="D23" s="30" t="n">
        <v>1</v>
      </c>
      <c r="E23" s="31" t="inlineStr">
        <is>
          <t>평일 / 주말</t>
        </is>
      </c>
      <c r="F23" s="32" t="n">
        <v>600000</v>
      </c>
      <c r="G23" s="24" t="n"/>
      <c r="I23" s="25" t="n"/>
      <c r="J23" s="26" t="n"/>
      <c r="K23" s="27" t="n"/>
      <c r="L23" s="27" t="n"/>
    </row>
    <row r="24" ht="19.5" customHeight="1">
      <c r="A24" s="28" t="n"/>
      <c r="B24" s="29" t="inlineStr">
        <is>
          <t>마야 6 (텍스쳐링/합성)</t>
        </is>
      </c>
      <c r="C24" s="22" t="n"/>
      <c r="D24" s="30" t="n">
        <v>1</v>
      </c>
      <c r="E24" s="31" t="inlineStr">
        <is>
          <t>평일 / 주말</t>
        </is>
      </c>
      <c r="F24" s="32" t="n">
        <v>600000</v>
      </c>
      <c r="G24" s="24" t="n"/>
      <c r="I24" s="25" t="n"/>
      <c r="J24" s="26" t="n"/>
      <c r="K24" s="27" t="n"/>
      <c r="L24" s="27" t="n"/>
    </row>
    <row r="25" ht="19.5" customHeight="1">
      <c r="A25" s="28" t="n"/>
      <c r="B25" s="29" t="inlineStr">
        <is>
          <t>마야 7 (리깅/애니메이션)</t>
        </is>
      </c>
      <c r="C25" s="22" t="n"/>
      <c r="D25" s="30" t="n">
        <v>1</v>
      </c>
      <c r="E25" s="31" t="inlineStr">
        <is>
          <t>평일 / 주말</t>
        </is>
      </c>
      <c r="F25" s="32" t="n">
        <v>600000</v>
      </c>
      <c r="G25" s="24" t="n"/>
      <c r="I25" s="25" t="n"/>
      <c r="J25" s="26" t="n"/>
      <c r="K25" s="27" t="n"/>
      <c r="L25" s="27" t="n"/>
    </row>
    <row r="26" ht="19.5" customHeight="1">
      <c r="A26" s="28" t="n"/>
      <c r="B26" s="29" t="inlineStr">
        <is>
          <t>AI 크리에이터-CG마야</t>
        </is>
      </c>
      <c r="C26" s="22" t="n"/>
      <c r="D26" s="30" t="n">
        <v>1</v>
      </c>
      <c r="E26" s="31" t="inlineStr">
        <is>
          <t>평일 / 주말</t>
        </is>
      </c>
      <c r="F26" s="32" t="n">
        <v>500000</v>
      </c>
      <c r="G26" s="24" t="n"/>
      <c r="I26" s="25" t="n"/>
      <c r="J26" s="26" t="n"/>
      <c r="K26" s="27" t="n"/>
      <c r="L26" s="27" t="n"/>
    </row>
    <row r="27" ht="19.5" customHeight="1">
      <c r="A27" s="28" t="n"/>
      <c r="B27" s="29" t="inlineStr">
        <is>
          <t>마야 포트폴리오 VFX 1</t>
        </is>
      </c>
      <c r="C27" s="22" t="n"/>
      <c r="D27" s="30" t="n">
        <v>1</v>
      </c>
      <c r="E27" s="31" t="inlineStr">
        <is>
          <t>평일 / 주말</t>
        </is>
      </c>
      <c r="F27" s="32" t="n">
        <v>600000</v>
      </c>
      <c r="G27" s="24" t="n"/>
      <c r="I27" s="25" t="n"/>
      <c r="J27" s="26" t="n"/>
      <c r="K27" s="27" t="n"/>
      <c r="L27" s="27" t="n"/>
    </row>
    <row r="28" ht="19.5" customHeight="1">
      <c r="A28" s="28" t="n"/>
      <c r="B28" s="29" t="inlineStr">
        <is>
          <t>마야 포트폴리오 VFX 2</t>
        </is>
      </c>
      <c r="C28" s="22" t="n"/>
      <c r="D28" s="30" t="n">
        <v>1</v>
      </c>
      <c r="E28" s="31" t="inlineStr">
        <is>
          <t>평일 / 주말</t>
        </is>
      </c>
      <c r="F28" s="32" t="n">
        <v>600000</v>
      </c>
      <c r="G28" s="24" t="n"/>
      <c r="I28" s="25" t="n"/>
      <c r="J28" s="26" t="n"/>
      <c r="K28" s="27" t="n"/>
      <c r="L28" s="27" t="n"/>
    </row>
    <row r="29" ht="33.6" customHeight="1">
      <c r="A29" s="33" t="inlineStr">
        <is>
          <t>따즈아</t>
        </is>
      </c>
      <c r="B29" s="34" t="inlineStr">
        <is>
          <t>온라인강의</t>
        </is>
      </c>
      <c r="C29" s="35" t="n">
        <v>0</v>
      </c>
      <c r="D29" s="36">
        <f>SUM(D8:D28)</f>
        <v/>
      </c>
      <c r="E29" s="37" t="inlineStr">
        <is>
          <t>원수강료</t>
        </is>
      </c>
      <c r="F29" s="38">
        <f>SUM(F8:F28)</f>
        <v/>
      </c>
      <c r="G29" s="39" t="n"/>
      <c r="I29" s="40" t="n"/>
      <c r="J29" s="40" t="n"/>
      <c r="K29" s="40" t="n"/>
      <c r="L29" s="40" t="n"/>
    </row>
    <row r="30" ht="19.5" customHeight="1">
      <c r="A30" s="41" t="inlineStr">
        <is>
          <t>■ 교육과정 할인내역</t>
        </is>
      </c>
      <c r="B30" s="42" t="n"/>
      <c r="C30" s="43" t="n"/>
      <c r="D30" s="44" t="n"/>
      <c r="E30" s="44" t="n"/>
      <c r="F30" s="45" t="n"/>
      <c r="G30" s="5" t="n"/>
      <c r="I30" s="40" t="n"/>
      <c r="J30" s="40" t="n"/>
      <c r="K30" s="40" t="n"/>
      <c r="L30" s="40" t="n"/>
    </row>
    <row r="31" ht="19.5" customHeight="1">
      <c r="A31" s="20" t="inlineStr">
        <is>
          <t>세부할인 내역</t>
        </is>
      </c>
      <c r="B31" s="46" t="n"/>
      <c r="C31" s="22" t="n"/>
      <c r="D31" s="21" t="inlineStr">
        <is>
          <t>할인율(%)</t>
        </is>
      </c>
      <c r="E31" s="47" t="inlineStr">
        <is>
          <t>할인금액</t>
        </is>
      </c>
      <c r="F31" s="46" t="n"/>
      <c r="G31" s="24" t="n"/>
    </row>
    <row r="32" ht="19.5" customHeight="1">
      <c r="A32" s="48" t="inlineStr">
        <is>
          <t>할인
내역</t>
        </is>
      </c>
      <c r="B32" s="49" t="inlineStr">
        <is>
          <t>겨울방학 할인</t>
        </is>
      </c>
      <c r="C32" s="46" t="n"/>
      <c r="D32" s="50" t="n">
        <v>0.15</v>
      </c>
      <c r="E32" s="51">
        <f>F29*D32</f>
        <v/>
      </c>
      <c r="F32" s="46" t="n"/>
      <c r="G32" s="24" t="n"/>
    </row>
    <row r="33" ht="19.5" customHeight="1">
      <c r="A33" s="52" t="n"/>
      <c r="B33" s="49" t="inlineStr">
        <is>
          <t>멘토직권 할인</t>
        </is>
      </c>
      <c r="C33" s="46" t="n"/>
      <c r="D33" s="53" t="n">
        <v>0.1</v>
      </c>
      <c r="E33" s="54">
        <f>(F29*(1-D32)*D33)</f>
        <v/>
      </c>
      <c r="F33" s="46" t="n"/>
      <c r="G33" s="24" t="n"/>
    </row>
    <row r="34" ht="19.5" customHeight="1">
      <c r="A34" s="55" t="n"/>
      <c r="B34" s="49" t="inlineStr">
        <is>
          <t>잔여석 지원 할인</t>
        </is>
      </c>
      <c r="C34" s="46" t="n"/>
      <c r="D34" s="56" t="n">
        <v>0.15</v>
      </c>
      <c r="E34" s="51">
        <f>(F29*(1-D32)*(1-D33)*D34)</f>
        <v/>
      </c>
      <c r="F34" s="46" t="n"/>
      <c r="G34" s="24" t="n"/>
      <c r="H34" s="40" t="n"/>
      <c r="I34" s="25" t="n"/>
      <c r="J34" s="26" t="n"/>
      <c r="K34" s="27" t="n"/>
      <c r="L34" s="27" t="n"/>
    </row>
    <row r="35" ht="19.5" customHeight="1">
      <c r="A35" s="57" t="inlineStr">
        <is>
          <t xml:space="preserve">총 할인금액 (수강지원)  </t>
        </is>
      </c>
      <c r="B35" s="46" t="n"/>
      <c r="C35" s="22" t="n"/>
      <c r="D35" s="58">
        <f>ROUNDUP(SUM(E32:G34),-3)</f>
        <v/>
      </c>
      <c r="E35" s="46" t="n"/>
      <c r="F35" s="46" t="n"/>
      <c r="G35" s="24" t="n"/>
      <c r="H35" s="40" t="n"/>
      <c r="I35" s="25" t="n"/>
      <c r="J35" s="26" t="n"/>
      <c r="K35" s="27" t="n"/>
      <c r="L35" s="27" t="n"/>
    </row>
    <row r="36" ht="23.25" customHeight="1">
      <c r="A36" s="59" t="inlineStr">
        <is>
          <t xml:space="preserve">납부 해야할 수강료 (할인적용)  </t>
        </is>
      </c>
      <c r="B36" s="46" t="n"/>
      <c r="C36" s="22" t="n"/>
      <c r="D36" s="60">
        <f>F29-D35</f>
        <v/>
      </c>
      <c r="E36" s="46" t="n"/>
      <c r="F36" s="46" t="n"/>
      <c r="G36" s="24" t="n"/>
      <c r="H36" s="40" t="n"/>
      <c r="I36" s="40" t="n"/>
      <c r="J36" s="40" t="n"/>
      <c r="K36" s="40" t="n"/>
      <c r="L36" s="40" t="n"/>
    </row>
    <row r="37" ht="23.25" customHeight="1">
      <c r="A37" s="59" t="inlineStr">
        <is>
          <t>총 등록금액</t>
        </is>
      </c>
      <c r="B37" s="46" t="n"/>
      <c r="C37" s="22" t="n"/>
      <c r="D37" s="60">
        <f>SUM(D36+C29)</f>
        <v/>
      </c>
      <c r="E37" s="46" t="n"/>
      <c r="F37" s="46" t="n"/>
      <c r="G37" s="24" t="n"/>
      <c r="H37" s="40" t="n"/>
    </row>
    <row r="38" ht="23.25" customHeight="1">
      <c r="A38" s="59" t="inlineStr">
        <is>
          <t>3개월 할부 진행시</t>
        </is>
      </c>
      <c r="B38" s="46" t="n"/>
      <c r="C38" s="22" t="n"/>
      <c r="D38" s="61">
        <f>SUM(D37/3)</f>
        <v/>
      </c>
      <c r="E38" s="46" t="n"/>
      <c r="F38" s="46" t="n"/>
      <c r="G38" s="24" t="n"/>
      <c r="H38" s="40" t="n"/>
    </row>
    <row r="39" ht="23.25" customHeight="1">
      <c r="A39" s="59" t="inlineStr">
        <is>
          <t>6개월 할부 진행시</t>
        </is>
      </c>
      <c r="B39" s="46" t="n"/>
      <c r="C39" s="22" t="n"/>
      <c r="D39" s="61">
        <f>SUM(D37/6)</f>
        <v/>
      </c>
      <c r="E39" s="46" t="n"/>
      <c r="F39" s="46" t="n"/>
      <c r="G39" s="24" t="n"/>
      <c r="H39" s="40" t="n"/>
    </row>
    <row r="40" ht="23.25" customHeight="1">
      <c r="A40" s="59" t="inlineStr">
        <is>
          <t>1과목당 수강료</t>
        </is>
      </c>
      <c r="B40" s="46" t="n"/>
      <c r="C40" s="22" t="n"/>
      <c r="D40" s="61">
        <f>SUM(D36/D29)</f>
        <v/>
      </c>
      <c r="E40" s="46" t="n"/>
      <c r="F40" s="46" t="n"/>
      <c r="G40" s="24" t="n"/>
      <c r="H40" s="40" t="n"/>
    </row>
    <row r="41" ht="16.5" customHeight="1">
      <c r="A41" s="62" t="n"/>
      <c r="B41" s="63" t="n"/>
      <c r="G41" s="64" t="n"/>
      <c r="I41" s="65" t="n"/>
      <c r="J41" s="40" t="n"/>
      <c r="K41" s="40" t="n"/>
      <c r="L41" s="40" t="n"/>
    </row>
    <row r="42" ht="16.5" customHeight="1">
      <c r="A42" s="66" t="inlineStr">
        <is>
          <t>■ 안내사항</t>
        </is>
      </c>
      <c r="B42" s="63" t="n"/>
      <c r="C42" s="63" t="n"/>
      <c r="D42" s="63" t="n"/>
      <c r="E42" s="63" t="n"/>
      <c r="F42" s="63" t="n"/>
      <c r="G42" s="64" t="n"/>
      <c r="I42" s="65" t="n"/>
      <c r="J42" s="40" t="n"/>
      <c r="K42" s="40" t="n"/>
      <c r="L42" s="40" t="n"/>
    </row>
    <row r="43" ht="16.5" customHeight="1">
      <c r="A43" s="62" t="inlineStr">
        <is>
          <t xml:space="preserve">   1) 위 수강료는 학원내 게시되어 있는 수강료 기준이며, 교육청에 신고된 금액입니다.</t>
        </is>
      </c>
      <c r="B43" s="63" t="n"/>
      <c r="C43" s="63" t="n"/>
      <c r="D43" s="63" t="n"/>
      <c r="E43" s="63" t="n"/>
      <c r="F43" s="63" t="n"/>
      <c r="G43" s="64" t="n"/>
      <c r="I43" s="40" t="n"/>
      <c r="J43" s="40" t="n"/>
      <c r="K43" s="40" t="n"/>
      <c r="L43" s="40" t="n"/>
    </row>
    <row r="44" ht="16.5" customHeight="1">
      <c r="A44" s="62" t="inlineStr">
        <is>
          <t xml:space="preserve">   2) 위 할인내역은 해당사항에 한해 적용되며, 할인내용에 해당될 시 증명서류를 증빙해야 할인 받을 수 있습니다.</t>
        </is>
      </c>
      <c r="B44" s="63" t="n"/>
      <c r="C44" s="63" t="n"/>
      <c r="D44" s="63" t="n"/>
      <c r="E44" s="63" t="n"/>
      <c r="F44" s="63" t="n"/>
      <c r="G44" s="64" t="n"/>
      <c r="I44" s="40" t="n"/>
      <c r="J44" s="40" t="n"/>
      <c r="K44" s="40" t="n"/>
      <c r="L44" s="40" t="n"/>
    </row>
    <row r="45" ht="16.5" customHeight="1">
      <c r="A45" s="62" t="inlineStr">
        <is>
          <t xml:space="preserve">   3) 할인금액은 수강과목지원(무료)으로 진행됩니다.</t>
        </is>
      </c>
      <c r="B45" s="44" t="n"/>
      <c r="C45" s="44" t="n"/>
      <c r="D45" s="67" t="n"/>
      <c r="E45" s="67" t="n"/>
      <c r="F45" s="68" t="n"/>
      <c r="G45" s="69" t="n"/>
    </row>
    <row r="46" ht="16.5" customHeight="1">
      <c r="A46" s="62" t="n"/>
      <c r="B46" s="44" t="n"/>
      <c r="C46" s="44" t="n"/>
      <c r="D46" s="67" t="n"/>
      <c r="E46" s="67" t="n"/>
      <c r="F46" s="68" t="n"/>
      <c r="G46" s="69" t="n"/>
    </row>
    <row r="47" ht="16.5" customHeight="1">
      <c r="A47" s="66" t="inlineStr">
        <is>
          <t>■ 수강료 납부 안내</t>
        </is>
      </c>
      <c r="B47" s="70" t="n"/>
      <c r="C47" s="70" t="n"/>
      <c r="D47" s="71" t="n"/>
      <c r="E47" s="71" t="n"/>
      <c r="F47" s="71" t="n"/>
      <c r="G47" s="72" t="n"/>
    </row>
    <row r="48" ht="16.5" customHeight="1">
      <c r="A48" s="62" t="inlineStr">
        <is>
          <t xml:space="preserve">    1) 현금수납 - 학원 안내접수처에서 접수 및 결제(현금영수증 발행)</t>
        </is>
      </c>
      <c r="B48" s="73" t="n"/>
      <c r="C48" s="73" t="n"/>
      <c r="D48" s="71" t="n"/>
      <c r="E48" s="71" t="n"/>
      <c r="F48" s="71" t="n"/>
      <c r="G48" s="72" t="n"/>
    </row>
    <row r="49" ht="16.5" customHeight="1">
      <c r="A49" s="62" t="inlineStr">
        <is>
          <t xml:space="preserve">    2) 온라인입금(계좌이체) 결제(현금영수증 발행)</t>
        </is>
      </c>
      <c r="B49" s="73" t="n"/>
      <c r="C49" s="73" t="n"/>
      <c r="D49" s="71" t="n"/>
      <c r="E49" s="71" t="n"/>
      <c r="F49" s="71" t="n"/>
      <c r="G49" s="72" t="n"/>
    </row>
    <row r="50" ht="16.5" customHeight="1">
      <c r="A50" s="66" t="n"/>
      <c r="B50" s="74" t="n"/>
      <c r="C50" s="74" t="n"/>
      <c r="D50" s="71" t="n"/>
      <c r="E50" s="71" t="n"/>
      <c r="F50" s="71" t="n"/>
      <c r="G50" s="72" t="n"/>
    </row>
    <row r="51" ht="16.5" customHeight="1">
      <c r="A51" s="62" t="inlineStr">
        <is>
          <t xml:space="preserve">    3) 카드수납 - 학원 안내접수처에서 접수 및 결제 or 카드번호 결제(키인결제)</t>
        </is>
      </c>
      <c r="B51" s="75" t="n"/>
      <c r="C51" s="75" t="n"/>
      <c r="D51" s="71" t="n"/>
      <c r="E51" s="71" t="n"/>
      <c r="F51" s="71" t="n"/>
      <c r="G51" s="72" t="n"/>
    </row>
    <row r="52" ht="16.5" customHeight="1">
      <c r="A52" s="62" t="inlineStr">
        <is>
          <t xml:space="preserve">                     - 학원 홈페이지(모바일, PC) 결제 &gt; 담당멘토 문의</t>
        </is>
      </c>
      <c r="B52" s="75" t="n"/>
      <c r="C52" s="75" t="n"/>
      <c r="D52" s="71" t="n"/>
      <c r="E52" s="71" t="n"/>
      <c r="F52" s="71" t="n"/>
      <c r="G52" s="72" t="n"/>
    </row>
    <row r="53" ht="16.5" customHeight="1">
      <c r="A53" s="62" t="inlineStr">
        <is>
          <t xml:space="preserve">      * 카드사별 무이자 할부 혜택 상이함</t>
        </is>
      </c>
      <c r="B53" s="76" t="n"/>
      <c r="C53" s="76" t="n"/>
      <c r="D53" s="71" t="n"/>
      <c r="E53" s="71" t="n"/>
      <c r="F53" s="71" t="n"/>
      <c r="G53" s="72" t="n"/>
    </row>
  </sheetData>
  <mergeCells count="69">
    <mergeCell ref="F4:G4"/>
    <mergeCell ref="F11:G11"/>
    <mergeCell ref="B16:C16"/>
    <mergeCell ref="B7:C7"/>
    <mergeCell ref="B25:C25"/>
    <mergeCell ref="F10:G10"/>
    <mergeCell ref="F16:G16"/>
    <mergeCell ref="F29:G29"/>
    <mergeCell ref="A37:C37"/>
    <mergeCell ref="F19:G19"/>
    <mergeCell ref="F25:G25"/>
    <mergeCell ref="E31:G31"/>
    <mergeCell ref="D39:G39"/>
    <mergeCell ref="B22:C22"/>
    <mergeCell ref="E34:G34"/>
    <mergeCell ref="A32:A34"/>
    <mergeCell ref="B18:C18"/>
    <mergeCell ref="B27:C27"/>
    <mergeCell ref="D38:G38"/>
    <mergeCell ref="F7:G7"/>
    <mergeCell ref="B12:C12"/>
    <mergeCell ref="F21:G21"/>
    <mergeCell ref="B21:C21"/>
    <mergeCell ref="F12:G12"/>
    <mergeCell ref="F24:G24"/>
    <mergeCell ref="F30:G30"/>
    <mergeCell ref="B11:C11"/>
    <mergeCell ref="F15:G15"/>
    <mergeCell ref="D35:G35"/>
    <mergeCell ref="F20:G20"/>
    <mergeCell ref="F18:G18"/>
    <mergeCell ref="B23:C23"/>
    <mergeCell ref="B14:C14"/>
    <mergeCell ref="B17:C17"/>
    <mergeCell ref="A35:C35"/>
    <mergeCell ref="F26:G26"/>
    <mergeCell ref="B8:C8"/>
    <mergeCell ref="F17:G17"/>
    <mergeCell ref="A38:C38"/>
    <mergeCell ref="F8:G8"/>
    <mergeCell ref="B13:C13"/>
    <mergeCell ref="E32:G32"/>
    <mergeCell ref="D40:G40"/>
    <mergeCell ref="A1:G3"/>
    <mergeCell ref="D36:G36"/>
    <mergeCell ref="B19:C19"/>
    <mergeCell ref="A31:C31"/>
    <mergeCell ref="B34:C34"/>
    <mergeCell ref="B10:C10"/>
    <mergeCell ref="F23:G23"/>
    <mergeCell ref="B28:C28"/>
    <mergeCell ref="A40:C40"/>
    <mergeCell ref="F22:G22"/>
    <mergeCell ref="F28:G28"/>
    <mergeCell ref="A39:C39"/>
    <mergeCell ref="F13:G13"/>
    <mergeCell ref="B9:C9"/>
    <mergeCell ref="F27:G27"/>
    <mergeCell ref="F9:G9"/>
    <mergeCell ref="B24:C24"/>
    <mergeCell ref="A36:C36"/>
    <mergeCell ref="B15:C15"/>
    <mergeCell ref="B33:C33"/>
    <mergeCell ref="E33:G33"/>
    <mergeCell ref="B20:C20"/>
    <mergeCell ref="B32:C32"/>
    <mergeCell ref="F14:G14"/>
    <mergeCell ref="B26:C26"/>
    <mergeCell ref="D37:G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8.88671875" customWidth="1" min="1" max="1"/>
    <col width="29.21875" customWidth="1" min="2" max="2"/>
    <col width="14.5546875" customWidth="1" min="3" max="3"/>
    <col width="11.6640625" customWidth="1" min="4" max="4"/>
    <col width="10.77734375" customWidth="1" min="5" max="5"/>
    <col width="8.109375" customWidth="1" min="6" max="6"/>
    <col width="10.5546875" customWidth="1" min="7" max="7"/>
    <col width="5.6640625" customWidth="1" min="8" max="8"/>
    <col width="21.6640625" customWidth="1" min="9" max="9"/>
    <col width="19.44140625" customWidth="1" min="10" max="10"/>
    <col width="20" customWidth="1" min="11" max="11"/>
    <col width="19.44140625" customWidth="1" min="12" max="12"/>
    <col width="8.88671875" customWidth="1" min="13" max="13"/>
  </cols>
  <sheetData>
    <row r="1" ht="13.5" customHeight="1">
      <c r="A1" s="1" t="inlineStr">
        <is>
          <t>웹툰 교육과정 수강료 안내</t>
        </is>
      </c>
      <c r="B1" s="2" t="n"/>
      <c r="C1" s="2" t="n"/>
      <c r="D1" s="2" t="n"/>
      <c r="E1" s="2" t="n"/>
      <c r="F1" s="2" t="n"/>
      <c r="G1" s="3" t="n"/>
    </row>
    <row r="2" ht="13.5" customHeight="1">
      <c r="A2" s="4" t="n"/>
      <c r="G2" s="5" t="n"/>
    </row>
    <row r="3" ht="13.5" customHeight="1">
      <c r="A3" s="4" t="n"/>
      <c r="G3" s="5" t="n"/>
    </row>
    <row r="4" ht="27" customHeight="1">
      <c r="A4" s="6" t="n"/>
      <c r="B4" s="7" t="n"/>
      <c r="C4" s="8" t="n"/>
      <c r="D4" s="9" t="n"/>
      <c r="E4" s="10" t="n"/>
      <c r="F4" s="11" t="n"/>
      <c r="G4" s="5" t="n"/>
    </row>
    <row r="5" ht="27" customHeight="1">
      <c r="A5" s="6" t="n"/>
      <c r="B5" s="7" t="n"/>
      <c r="C5" s="12" t="inlineStr">
        <is>
          <t xml:space="preserve">상 담 일 자 : </t>
        </is>
      </c>
      <c r="D5" s="13">
        <f>TODAY()</f>
        <v/>
      </c>
      <c r="E5" s="14" t="inlineStr">
        <is>
          <t xml:space="preserve">상 담 자 : </t>
        </is>
      </c>
      <c r="F5" s="15" t="inlineStr">
        <is>
          <t>안재현 교육멘토</t>
        </is>
      </c>
      <c r="G5" s="16" t="n"/>
    </row>
    <row r="6" ht="19.5" customHeight="1">
      <c r="A6" s="17" t="inlineStr">
        <is>
          <t xml:space="preserve">■  과정 및 수강료                              </t>
        </is>
      </c>
      <c r="B6" s="15" t="n"/>
      <c r="C6" s="8" t="n"/>
      <c r="D6" s="18" t="n"/>
      <c r="E6" s="12" t="inlineStr">
        <is>
          <t xml:space="preserve">연 락 처 : </t>
        </is>
      </c>
      <c r="F6" s="15" t="inlineStr">
        <is>
          <t>042-710-8921</t>
        </is>
      </c>
      <c r="G6" s="19" t="n"/>
    </row>
    <row r="7" ht="19.5" customHeight="1">
      <c r="A7" s="20" t="inlineStr">
        <is>
          <t>과 정</t>
        </is>
      </c>
      <c r="B7" s="21" t="inlineStr">
        <is>
          <t>과목명</t>
        </is>
      </c>
      <c r="C7" s="22" t="n"/>
      <c r="D7" s="21" t="inlineStr">
        <is>
          <t>COURSE</t>
        </is>
      </c>
      <c r="E7" s="21" t="inlineStr">
        <is>
          <t>DAY</t>
        </is>
      </c>
      <c r="F7" s="23" t="inlineStr">
        <is>
          <t>수강료</t>
        </is>
      </c>
      <c r="G7" s="24" t="n"/>
      <c r="I7" s="25" t="n"/>
      <c r="J7" s="26" t="n"/>
      <c r="K7" s="27" t="n"/>
      <c r="L7" s="27" t="n"/>
    </row>
    <row r="8" ht="19.5" customHeight="1">
      <c r="A8" s="28" t="n"/>
      <c r="B8" s="29" t="inlineStr">
        <is>
          <t>발상과표현</t>
        </is>
      </c>
      <c r="C8" s="22" t="n"/>
      <c r="D8" s="30" t="n">
        <v>1</v>
      </c>
      <c r="E8" s="31" t="inlineStr">
        <is>
          <t>평일 / 주말</t>
        </is>
      </c>
      <c r="F8" s="32" t="n">
        <v>400000</v>
      </c>
      <c r="G8" s="24" t="n"/>
      <c r="I8" s="25" t="n"/>
      <c r="J8" s="26" t="n"/>
      <c r="K8" s="27" t="n"/>
      <c r="L8" s="27" t="n"/>
    </row>
    <row r="9" ht="19.5" customHeight="1">
      <c r="A9" s="28" t="n"/>
      <c r="B9" s="29" t="inlineStr">
        <is>
          <t>색채학</t>
        </is>
      </c>
      <c r="C9" s="22" t="n"/>
      <c r="D9" s="30" t="n">
        <v>1</v>
      </c>
      <c r="E9" s="31" t="inlineStr">
        <is>
          <t>평일 / 주말</t>
        </is>
      </c>
      <c r="F9" s="32" t="n">
        <v>400000</v>
      </c>
      <c r="G9" s="24" t="n"/>
      <c r="I9" s="25" t="n"/>
      <c r="J9" s="26" t="n"/>
      <c r="K9" s="27" t="n"/>
      <c r="L9" s="27" t="n"/>
    </row>
    <row r="10" ht="19.5" customHeight="1">
      <c r="A10" s="28" t="n"/>
      <c r="B10" s="29" t="inlineStr">
        <is>
          <t>포토샵, 일러스트</t>
        </is>
      </c>
      <c r="C10" s="22" t="n"/>
      <c r="D10" s="30" t="n">
        <v>1</v>
      </c>
      <c r="E10" s="31" t="inlineStr">
        <is>
          <t>평일 / 주말</t>
        </is>
      </c>
      <c r="F10" s="32" t="n">
        <v>350000</v>
      </c>
      <c r="G10" s="24" t="n"/>
      <c r="I10" s="25" t="n"/>
      <c r="J10" s="26" t="n"/>
      <c r="K10" s="27" t="n"/>
      <c r="L10" s="27" t="n"/>
    </row>
    <row r="11" ht="19.5" customHeight="1">
      <c r="A11" s="28" t="n"/>
      <c r="B11" s="29" t="inlineStr">
        <is>
          <t>포토웍스, 디일러</t>
        </is>
      </c>
      <c r="C11" s="22" t="n"/>
      <c r="D11" s="30" t="n">
        <v>1</v>
      </c>
      <c r="E11" s="31" t="inlineStr">
        <is>
          <t>평일 / 주말</t>
        </is>
      </c>
      <c r="F11" s="32" t="n">
        <v>400000</v>
      </c>
      <c r="G11" s="24" t="n"/>
      <c r="I11" s="25" t="n"/>
      <c r="J11" s="26" t="n"/>
      <c r="K11" s="27" t="n"/>
      <c r="L11" s="27" t="n"/>
    </row>
    <row r="12" ht="19.5" customHeight="1">
      <c r="A12" s="28" t="n"/>
      <c r="B12" s="29" t="inlineStr">
        <is>
          <t>웹툰 1 (캐릭터 IP개발)</t>
        </is>
      </c>
      <c r="C12" s="22" t="n"/>
      <c r="D12" s="30" t="n">
        <v>1</v>
      </c>
      <c r="E12" s="31" t="inlineStr">
        <is>
          <t>평일 / 주말</t>
        </is>
      </c>
      <c r="F12" s="32" t="n">
        <v>500000</v>
      </c>
      <c r="G12" s="24" t="n"/>
      <c r="I12" s="25" t="n"/>
      <c r="J12" s="26" t="n"/>
      <c r="K12" s="27" t="n"/>
      <c r="L12" s="27" t="n"/>
    </row>
    <row r="13" ht="19.5" customHeight="1">
      <c r="A13" s="28" t="n"/>
      <c r="B13" s="29" t="inlineStr">
        <is>
          <t>웹툰 2 (색채·캐릭터)</t>
        </is>
      </c>
      <c r="C13" s="22" t="n"/>
      <c r="D13" s="30" t="n">
        <v>1</v>
      </c>
      <c r="E13" s="31" t="inlineStr">
        <is>
          <t>평일 / 주말</t>
        </is>
      </c>
      <c r="F13" s="32" t="n">
        <v>500000</v>
      </c>
      <c r="G13" s="24" t="n"/>
      <c r="I13" s="25" t="n"/>
      <c r="J13" s="26" t="n"/>
      <c r="K13" s="27" t="n"/>
      <c r="L13" s="27" t="n"/>
    </row>
    <row r="14" ht="19.5" customHeight="1">
      <c r="A14" s="28" t="n"/>
      <c r="B14" s="29" t="inlineStr">
        <is>
          <t>웹툰 3 (연출·콘티)</t>
        </is>
      </c>
      <c r="C14" s="22" t="n"/>
      <c r="D14" s="30" t="n">
        <v>1</v>
      </c>
      <c r="E14" s="31" t="inlineStr">
        <is>
          <t>평일 / 주말</t>
        </is>
      </c>
      <c r="F14" s="32" t="n">
        <v>500000</v>
      </c>
      <c r="G14" s="24" t="n"/>
      <c r="I14" s="25" t="n"/>
      <c r="J14" s="26" t="n"/>
      <c r="K14" s="27" t="n"/>
      <c r="L14" s="27" t="n"/>
    </row>
    <row r="15" ht="19.5" customHeight="1">
      <c r="A15" s="28" t="n"/>
      <c r="B15" s="29" t="inlineStr">
        <is>
          <t>웹툰 4 (배경 제작)</t>
        </is>
      </c>
      <c r="C15" s="22" t="n"/>
      <c r="D15" s="30" t="n">
        <v>1</v>
      </c>
      <c r="E15" s="31" t="inlineStr">
        <is>
          <t>평일 / 주말</t>
        </is>
      </c>
      <c r="F15" s="32" t="n">
        <v>500000</v>
      </c>
      <c r="G15" s="24" t="n"/>
      <c r="I15" s="25" t="n"/>
      <c r="J15" s="26" t="n"/>
      <c r="K15" s="27" t="n"/>
      <c r="L15" s="27" t="n"/>
    </row>
    <row r="16" ht="19.5" customHeight="1">
      <c r="A16" s="28" t="n"/>
      <c r="B16" s="29" t="inlineStr">
        <is>
          <t>웹툰 5 (채색심화)</t>
        </is>
      </c>
      <c r="C16" s="22" t="n"/>
      <c r="D16" s="30" t="n">
        <v>1</v>
      </c>
      <c r="E16" s="31" t="inlineStr">
        <is>
          <t>평일 / 주말</t>
        </is>
      </c>
      <c r="F16" s="32" t="n">
        <v>500000</v>
      </c>
      <c r="G16" s="24" t="n"/>
      <c r="I16" s="25" t="n"/>
      <c r="J16" s="26" t="n"/>
      <c r="K16" s="27" t="n"/>
      <c r="L16" s="27" t="n"/>
    </row>
    <row r="17" ht="19.5" customHeight="1">
      <c r="A17" s="28" t="n"/>
      <c r="B17" s="29" t="inlineStr">
        <is>
          <t>웹툰 6 (스토리보드)</t>
        </is>
      </c>
      <c r="C17" s="22" t="n"/>
      <c r="D17" s="30" t="n">
        <v>1</v>
      </c>
      <c r="E17" s="31" t="inlineStr">
        <is>
          <t>평일 / 주말</t>
        </is>
      </c>
      <c r="F17" s="32" t="n">
        <v>500000</v>
      </c>
      <c r="G17" s="24" t="n"/>
      <c r="I17" s="25" t="n"/>
      <c r="J17" s="26" t="n"/>
      <c r="K17" s="27" t="n"/>
      <c r="L17" s="27" t="n"/>
    </row>
    <row r="18" ht="19.5" customHeight="1">
      <c r="A18" s="28" t="n"/>
      <c r="B18" s="29" t="inlineStr">
        <is>
          <t>AI 크리에이터-아트웍</t>
        </is>
      </c>
      <c r="C18" s="22" t="n"/>
      <c r="D18" s="30" t="n">
        <v>1</v>
      </c>
      <c r="E18" s="31" t="inlineStr">
        <is>
          <t>평일 / 주말</t>
        </is>
      </c>
      <c r="F18" s="32" t="n">
        <v>500000</v>
      </c>
      <c r="G18" s="24" t="n"/>
      <c r="I18" s="25" t="n"/>
      <c r="J18" s="26" t="n"/>
      <c r="K18" s="27" t="n"/>
      <c r="L18" s="27" t="n"/>
    </row>
    <row r="19" ht="33.6" customHeight="1">
      <c r="A19" s="33" t="inlineStr">
        <is>
          <t>따즈아</t>
        </is>
      </c>
      <c r="B19" s="34" t="inlineStr">
        <is>
          <t>온라인강의</t>
        </is>
      </c>
      <c r="C19" s="35" t="n">
        <v>0</v>
      </c>
      <c r="D19" s="36">
        <f>SUM(D8:D18)</f>
        <v/>
      </c>
      <c r="E19" s="37" t="inlineStr">
        <is>
          <t>원수강료</t>
        </is>
      </c>
      <c r="F19" s="38">
        <f>SUM(F8:F18)</f>
        <v/>
      </c>
      <c r="G19" s="39" t="n"/>
      <c r="I19" s="40" t="n"/>
      <c r="J19" s="40" t="n"/>
      <c r="K19" s="40" t="n"/>
      <c r="L19" s="40" t="n"/>
    </row>
    <row r="20" ht="19.5" customHeight="1">
      <c r="A20" s="41" t="inlineStr">
        <is>
          <t>■ 교육과정 할인내역</t>
        </is>
      </c>
      <c r="B20" s="42" t="n"/>
      <c r="C20" s="43" t="n"/>
      <c r="D20" s="44" t="n"/>
      <c r="E20" s="44" t="n"/>
      <c r="F20" s="45" t="n"/>
      <c r="G20" s="5" t="n"/>
      <c r="I20" s="40" t="n"/>
      <c r="J20" s="40" t="n"/>
      <c r="K20" s="40" t="n"/>
      <c r="L20" s="40" t="n"/>
    </row>
    <row r="21" ht="19.5" customHeight="1">
      <c r="A21" s="20" t="inlineStr">
        <is>
          <t>세부할인 내역</t>
        </is>
      </c>
      <c r="B21" s="46" t="n"/>
      <c r="C21" s="22" t="n"/>
      <c r="D21" s="21" t="inlineStr">
        <is>
          <t>할인율(%)</t>
        </is>
      </c>
      <c r="E21" s="47" t="inlineStr">
        <is>
          <t>할인금액</t>
        </is>
      </c>
      <c r="F21" s="46" t="n"/>
      <c r="G21" s="24" t="n"/>
    </row>
    <row r="22" ht="19.5" customHeight="1">
      <c r="A22" s="48" t="inlineStr">
        <is>
          <t>할인
내역</t>
        </is>
      </c>
      <c r="B22" s="49" t="inlineStr">
        <is>
          <t>겨울방학 할인</t>
        </is>
      </c>
      <c r="C22" s="46" t="n"/>
      <c r="D22" s="50" t="n">
        <v>0.15</v>
      </c>
      <c r="E22" s="51">
        <f>F19*D22</f>
        <v/>
      </c>
      <c r="F22" s="46" t="n"/>
      <c r="G22" s="24" t="n"/>
    </row>
    <row r="23" ht="19.5" customHeight="1">
      <c r="A23" s="52" t="n"/>
      <c r="B23" s="49" t="inlineStr">
        <is>
          <t>멘토직권 할인</t>
        </is>
      </c>
      <c r="C23" s="46" t="n"/>
      <c r="D23" s="53" t="n">
        <v>0.1</v>
      </c>
      <c r="E23" s="54">
        <f>(F19*(1-D22)*D23)</f>
        <v/>
      </c>
      <c r="F23" s="46" t="n"/>
      <c r="G23" s="24" t="n"/>
    </row>
    <row r="24" ht="19.5" customHeight="1">
      <c r="A24" s="55" t="n"/>
      <c r="B24" s="49" t="inlineStr">
        <is>
          <t>잔여석 지원 할인</t>
        </is>
      </c>
      <c r="C24" s="46" t="n"/>
      <c r="D24" s="56" t="n">
        <v>0.15</v>
      </c>
      <c r="E24" s="51">
        <f>(F19*(1-D22)*(1-D23)*D24)</f>
        <v/>
      </c>
      <c r="F24" s="46" t="n"/>
      <c r="G24" s="24" t="n"/>
      <c r="H24" s="40" t="n"/>
      <c r="I24" s="25" t="n"/>
      <c r="J24" s="26" t="n"/>
      <c r="K24" s="27" t="n"/>
      <c r="L24" s="27" t="n"/>
    </row>
    <row r="25" ht="19.5" customHeight="1">
      <c r="A25" s="57" t="inlineStr">
        <is>
          <t xml:space="preserve">총 할인금액 (수강지원)  </t>
        </is>
      </c>
      <c r="B25" s="46" t="n"/>
      <c r="C25" s="22" t="n"/>
      <c r="D25" s="58">
        <f>ROUNDUP(SUM(E22:G24),-3)</f>
        <v/>
      </c>
      <c r="E25" s="46" t="n"/>
      <c r="F25" s="46" t="n"/>
      <c r="G25" s="24" t="n"/>
      <c r="H25" s="40" t="n"/>
      <c r="I25" s="25" t="n"/>
      <c r="J25" s="26" t="n"/>
      <c r="K25" s="27" t="n"/>
      <c r="L25" s="27" t="n"/>
    </row>
    <row r="26" ht="23.25" customHeight="1">
      <c r="A26" s="59" t="inlineStr">
        <is>
          <t xml:space="preserve">납부 해야할 수강료 (할인적용)  </t>
        </is>
      </c>
      <c r="B26" s="46" t="n"/>
      <c r="C26" s="22" t="n"/>
      <c r="D26" s="60">
        <f>F19-D25</f>
        <v/>
      </c>
      <c r="E26" s="46" t="n"/>
      <c r="F26" s="46" t="n"/>
      <c r="G26" s="24" t="n"/>
      <c r="H26" s="40" t="n"/>
      <c r="I26" s="40" t="n"/>
      <c r="J26" s="40" t="n"/>
      <c r="K26" s="40" t="n"/>
      <c r="L26" s="40" t="n"/>
    </row>
    <row r="27" ht="23.25" customHeight="1">
      <c r="A27" s="59" t="inlineStr">
        <is>
          <t>총 등록금액</t>
        </is>
      </c>
      <c r="B27" s="46" t="n"/>
      <c r="C27" s="22" t="n"/>
      <c r="D27" s="60">
        <f>SUM(D26+C19)</f>
        <v/>
      </c>
      <c r="E27" s="46" t="n"/>
      <c r="F27" s="46" t="n"/>
      <c r="G27" s="24" t="n"/>
      <c r="H27" s="40" t="n"/>
    </row>
    <row r="28" ht="23.25" customHeight="1">
      <c r="A28" s="59" t="inlineStr">
        <is>
          <t>3개월 할부 진행시</t>
        </is>
      </c>
      <c r="B28" s="46" t="n"/>
      <c r="C28" s="22" t="n"/>
      <c r="D28" s="61">
        <f>SUM(D27/3)</f>
        <v/>
      </c>
      <c r="E28" s="46" t="n"/>
      <c r="F28" s="46" t="n"/>
      <c r="G28" s="24" t="n"/>
      <c r="H28" s="40" t="n"/>
    </row>
    <row r="29" ht="23.25" customHeight="1">
      <c r="A29" s="59" t="inlineStr">
        <is>
          <t>6개월 할부 진행시</t>
        </is>
      </c>
      <c r="B29" s="46" t="n"/>
      <c r="C29" s="22" t="n"/>
      <c r="D29" s="61">
        <f>SUM(D27/6)</f>
        <v/>
      </c>
      <c r="E29" s="46" t="n"/>
      <c r="F29" s="46" t="n"/>
      <c r="G29" s="24" t="n"/>
      <c r="H29" s="40" t="n"/>
    </row>
    <row r="30" ht="23.25" customHeight="1">
      <c r="A30" s="59" t="inlineStr">
        <is>
          <t>1과목당 수강료</t>
        </is>
      </c>
      <c r="B30" s="46" t="n"/>
      <c r="C30" s="22" t="n"/>
      <c r="D30" s="61">
        <f>SUM(D26/D19)</f>
        <v/>
      </c>
      <c r="E30" s="46" t="n"/>
      <c r="F30" s="46" t="n"/>
      <c r="G30" s="24" t="n"/>
      <c r="H30" s="40" t="n"/>
    </row>
    <row r="31" ht="16.5" customHeight="1">
      <c r="A31" s="62" t="n"/>
      <c r="B31" s="63" t="n"/>
      <c r="G31" s="64" t="n"/>
      <c r="I31" s="65" t="n"/>
      <c r="J31" s="40" t="n"/>
      <c r="K31" s="40" t="n"/>
      <c r="L31" s="40" t="n"/>
    </row>
    <row r="32" ht="16.5" customHeight="1">
      <c r="A32" s="66" t="inlineStr">
        <is>
          <t>■ 안내사항</t>
        </is>
      </c>
      <c r="B32" s="63" t="n"/>
      <c r="C32" s="63" t="n"/>
      <c r="D32" s="63" t="n"/>
      <c r="E32" s="63" t="n"/>
      <c r="F32" s="63" t="n"/>
      <c r="G32" s="64" t="n"/>
      <c r="I32" s="65" t="n"/>
      <c r="J32" s="40" t="n"/>
      <c r="K32" s="40" t="n"/>
      <c r="L32" s="40" t="n"/>
    </row>
    <row r="33" ht="16.5" customHeight="1">
      <c r="A33" s="62" t="inlineStr">
        <is>
          <t xml:space="preserve">   1) 위 수강료는 학원내 게시되어 있는 수강료 기준이며, 교육청에 신고된 금액입니다.</t>
        </is>
      </c>
      <c r="B33" s="63" t="n"/>
      <c r="C33" s="63" t="n"/>
      <c r="D33" s="63" t="n"/>
      <c r="E33" s="63" t="n"/>
      <c r="F33" s="63" t="n"/>
      <c r="G33" s="64" t="n"/>
      <c r="I33" s="40" t="n"/>
      <c r="J33" s="40" t="n"/>
      <c r="K33" s="40" t="n"/>
      <c r="L33" s="40" t="n"/>
    </row>
    <row r="34" ht="16.5" customHeight="1">
      <c r="A34" s="62" t="inlineStr">
        <is>
          <t xml:space="preserve">   2) 위 할인내역은 해당사항에 한해 적용되며, 할인내용에 해당될 시 증명서류를 증빙해야 할인 받을 수 있습니다.</t>
        </is>
      </c>
      <c r="B34" s="63" t="n"/>
      <c r="C34" s="63" t="n"/>
      <c r="D34" s="63" t="n"/>
      <c r="E34" s="63" t="n"/>
      <c r="F34" s="63" t="n"/>
      <c r="G34" s="64" t="n"/>
      <c r="I34" s="40" t="n"/>
      <c r="J34" s="40" t="n"/>
      <c r="K34" s="40" t="n"/>
      <c r="L34" s="40" t="n"/>
    </row>
    <row r="35" ht="16.5" customHeight="1">
      <c r="A35" s="62" t="inlineStr">
        <is>
          <t xml:space="preserve">   3) 할인금액은 수강과목지원(무료)으로 진행됩니다.</t>
        </is>
      </c>
      <c r="B35" s="44" t="n"/>
      <c r="C35" s="44" t="n"/>
      <c r="D35" s="67" t="n"/>
      <c r="E35" s="67" t="n"/>
      <c r="F35" s="68" t="n"/>
      <c r="G35" s="69" t="n"/>
    </row>
    <row r="36" ht="16.5" customHeight="1">
      <c r="A36" s="62" t="n"/>
      <c r="B36" s="44" t="n"/>
      <c r="C36" s="44" t="n"/>
      <c r="D36" s="67" t="n"/>
      <c r="E36" s="67" t="n"/>
      <c r="F36" s="68" t="n"/>
      <c r="G36" s="69" t="n"/>
    </row>
    <row r="37" ht="16.5" customHeight="1">
      <c r="A37" s="66" t="inlineStr">
        <is>
          <t>■ 수강료 납부 안내</t>
        </is>
      </c>
      <c r="B37" s="70" t="n"/>
      <c r="C37" s="70" t="n"/>
      <c r="D37" s="71" t="n"/>
      <c r="E37" s="71" t="n"/>
      <c r="F37" s="71" t="n"/>
      <c r="G37" s="72" t="n"/>
    </row>
    <row r="38" ht="16.5" customHeight="1">
      <c r="A38" s="62" t="inlineStr">
        <is>
          <t xml:space="preserve">    1) 현금수납 - 학원 안내접수처에서 접수 및 결제(현금영수증 발행)</t>
        </is>
      </c>
      <c r="B38" s="73" t="n"/>
      <c r="C38" s="73" t="n"/>
      <c r="D38" s="71" t="n"/>
      <c r="E38" s="71" t="n"/>
      <c r="F38" s="71" t="n"/>
      <c r="G38" s="72" t="n"/>
    </row>
    <row r="39" ht="16.5" customHeight="1">
      <c r="A39" s="62" t="inlineStr">
        <is>
          <t xml:space="preserve">    2) 온라인입금(계좌이체) 결제(현금영수증 발행)</t>
        </is>
      </c>
      <c r="B39" s="73" t="n"/>
      <c r="C39" s="73" t="n"/>
      <c r="D39" s="71" t="n"/>
      <c r="E39" s="71" t="n"/>
      <c r="F39" s="71" t="n"/>
      <c r="G39" s="72" t="n"/>
    </row>
    <row r="40" ht="16.5" customHeight="1">
      <c r="A40" s="66" t="n"/>
      <c r="B40" s="74" t="n"/>
      <c r="C40" s="74" t="n"/>
      <c r="D40" s="71" t="n"/>
      <c r="E40" s="71" t="n"/>
      <c r="F40" s="71" t="n"/>
      <c r="G40" s="72" t="n"/>
    </row>
    <row r="41" ht="16.5" customHeight="1">
      <c r="A41" s="62" t="inlineStr">
        <is>
          <t xml:space="preserve">    3) 카드수납 - 학원 안내접수처에서 접수 및 결제 or 카드번호 결제(키인결제)</t>
        </is>
      </c>
      <c r="B41" s="75" t="n"/>
      <c r="C41" s="75" t="n"/>
      <c r="D41" s="71" t="n"/>
      <c r="E41" s="71" t="n"/>
      <c r="F41" s="71" t="n"/>
      <c r="G41" s="72" t="n"/>
    </row>
    <row r="42" ht="16.5" customHeight="1">
      <c r="A42" s="62" t="inlineStr">
        <is>
          <t xml:space="preserve">                     - 학원 홈페이지(모바일, PC) 결제 &gt; 담당멘토 문의</t>
        </is>
      </c>
      <c r="B42" s="75" t="n"/>
      <c r="C42" s="75" t="n"/>
      <c r="D42" s="71" t="n"/>
      <c r="E42" s="71" t="n"/>
      <c r="F42" s="71" t="n"/>
      <c r="G42" s="72" t="n"/>
    </row>
    <row r="43" ht="16.5" customHeight="1">
      <c r="A43" s="62" t="inlineStr">
        <is>
          <t xml:space="preserve">      * 카드사별 무이자 할부 혜택 상이함</t>
        </is>
      </c>
      <c r="B43" s="76" t="n"/>
      <c r="C43" s="76" t="n"/>
      <c r="D43" s="71" t="n"/>
      <c r="E43" s="71" t="n"/>
      <c r="F43" s="71" t="n"/>
      <c r="G43" s="72" t="n"/>
    </row>
  </sheetData>
  <mergeCells count="49">
    <mergeCell ref="F4:G4"/>
    <mergeCell ref="A25:C25"/>
    <mergeCell ref="F11:G11"/>
    <mergeCell ref="B16:C16"/>
    <mergeCell ref="B7:C7"/>
    <mergeCell ref="F10:G10"/>
    <mergeCell ref="F16:G16"/>
    <mergeCell ref="D25:G25"/>
    <mergeCell ref="F19:G19"/>
    <mergeCell ref="D30:G30"/>
    <mergeCell ref="B22:C22"/>
    <mergeCell ref="A27:C27"/>
    <mergeCell ref="A21:C21"/>
    <mergeCell ref="D29:G29"/>
    <mergeCell ref="B18:C18"/>
    <mergeCell ref="A22:A24"/>
    <mergeCell ref="A26:C26"/>
    <mergeCell ref="F7:G7"/>
    <mergeCell ref="B12:C12"/>
    <mergeCell ref="F12:G12"/>
    <mergeCell ref="D26:G26"/>
    <mergeCell ref="B11:C11"/>
    <mergeCell ref="F15:G15"/>
    <mergeCell ref="F20:G20"/>
    <mergeCell ref="F18:G18"/>
    <mergeCell ref="B23:C23"/>
    <mergeCell ref="B14:C14"/>
    <mergeCell ref="B17:C17"/>
    <mergeCell ref="A29:C29"/>
    <mergeCell ref="B8:C8"/>
    <mergeCell ref="F17:G17"/>
    <mergeCell ref="F8:G8"/>
    <mergeCell ref="B13:C13"/>
    <mergeCell ref="A28:C28"/>
    <mergeCell ref="A1:G3"/>
    <mergeCell ref="E22:G22"/>
    <mergeCell ref="B10:C10"/>
    <mergeCell ref="A30:C30"/>
    <mergeCell ref="F13:G13"/>
    <mergeCell ref="B9:C9"/>
    <mergeCell ref="E21:G21"/>
    <mergeCell ref="D27:G27"/>
    <mergeCell ref="F9:G9"/>
    <mergeCell ref="E24:G24"/>
    <mergeCell ref="B24:C24"/>
    <mergeCell ref="B15:C15"/>
    <mergeCell ref="E23:G23"/>
    <mergeCell ref="F14:G14"/>
    <mergeCell ref="D28:G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8.88671875" customWidth="1" min="1" max="1"/>
    <col width="29.21875" customWidth="1" min="2" max="2"/>
    <col width="14.5546875" customWidth="1" min="3" max="3"/>
    <col width="11.6640625" customWidth="1" min="4" max="4"/>
    <col width="10.77734375" customWidth="1" min="5" max="5"/>
    <col width="8.109375" customWidth="1" min="6" max="6"/>
    <col width="10.5546875" customWidth="1" min="7" max="7"/>
    <col width="5.6640625" customWidth="1" min="8" max="8"/>
    <col width="21.6640625" customWidth="1" min="9" max="9"/>
    <col width="19.44140625" customWidth="1" min="10" max="10"/>
    <col width="20" customWidth="1" min="11" max="11"/>
    <col width="19.44140625" customWidth="1" min="12" max="12"/>
    <col width="8.88671875" customWidth="1" min="13" max="13"/>
  </cols>
  <sheetData>
    <row r="1" ht="13.5" customHeight="1">
      <c r="A1" s="1" t="inlineStr">
        <is>
          <t>디지털드로잉 (아트웍) 교육과정 수강료 안내</t>
        </is>
      </c>
      <c r="B1" s="2" t="n"/>
      <c r="C1" s="2" t="n"/>
      <c r="D1" s="2" t="n"/>
      <c r="E1" s="2" t="n"/>
      <c r="F1" s="2" t="n"/>
      <c r="G1" s="3" t="n"/>
    </row>
    <row r="2" ht="13.5" customHeight="1">
      <c r="A2" s="4" t="n"/>
      <c r="G2" s="5" t="n"/>
    </row>
    <row r="3" ht="13.5" customHeight="1">
      <c r="A3" s="4" t="n"/>
      <c r="G3" s="5" t="n"/>
    </row>
    <row r="4" ht="27" customHeight="1">
      <c r="A4" s="6" t="n"/>
      <c r="B4" s="7" t="n"/>
      <c r="C4" s="8" t="n"/>
      <c r="D4" s="9" t="n"/>
      <c r="E4" s="10" t="n"/>
      <c r="F4" s="11" t="n"/>
      <c r="G4" s="5" t="n"/>
    </row>
    <row r="5" ht="27" customHeight="1">
      <c r="A5" s="6" t="n"/>
      <c r="B5" s="7" t="n"/>
      <c r="C5" s="12" t="inlineStr">
        <is>
          <t xml:space="preserve">상 담 일 자 : </t>
        </is>
      </c>
      <c r="D5" s="13">
        <f>TODAY()</f>
        <v/>
      </c>
      <c r="E5" s="14" t="inlineStr">
        <is>
          <t xml:space="preserve">상 담 자 : </t>
        </is>
      </c>
      <c r="F5" s="15" t="inlineStr">
        <is>
          <t>안재현 교육멘토</t>
        </is>
      </c>
      <c r="G5" s="16" t="n"/>
    </row>
    <row r="6" ht="19.5" customHeight="1">
      <c r="A6" s="17" t="inlineStr">
        <is>
          <t xml:space="preserve">■  과정 및 수강료                              </t>
        </is>
      </c>
      <c r="B6" s="15" t="n"/>
      <c r="C6" s="8" t="n"/>
      <c r="D6" s="18" t="n"/>
      <c r="E6" s="12" t="inlineStr">
        <is>
          <t xml:space="preserve">연 락 처 : </t>
        </is>
      </c>
      <c r="F6" s="15" t="inlineStr">
        <is>
          <t>042-710-8921</t>
        </is>
      </c>
      <c r="G6" s="19" t="n"/>
    </row>
    <row r="7" ht="19.5" customHeight="1">
      <c r="A7" s="20" t="inlineStr">
        <is>
          <t>과 정</t>
        </is>
      </c>
      <c r="B7" s="21" t="inlineStr">
        <is>
          <t>과목명</t>
        </is>
      </c>
      <c r="C7" s="22" t="n"/>
      <c r="D7" s="21" t="inlineStr">
        <is>
          <t>COURSE</t>
        </is>
      </c>
      <c r="E7" s="21" t="inlineStr">
        <is>
          <t>DAY</t>
        </is>
      </c>
      <c r="F7" s="23" t="inlineStr">
        <is>
          <t>수강료</t>
        </is>
      </c>
      <c r="G7" s="24" t="n"/>
      <c r="I7" s="25" t="n"/>
      <c r="J7" s="26" t="n"/>
      <c r="K7" s="27" t="n"/>
      <c r="L7" s="27" t="n"/>
    </row>
    <row r="8" ht="19.5" customHeight="1">
      <c r="A8" s="28" t="n"/>
      <c r="B8" s="29" t="inlineStr">
        <is>
          <t>발상과표현</t>
        </is>
      </c>
      <c r="C8" s="22" t="n"/>
      <c r="D8" s="30" t="n">
        <v>1</v>
      </c>
      <c r="E8" s="31" t="inlineStr">
        <is>
          <t>평일 / 주말</t>
        </is>
      </c>
      <c r="F8" s="32" t="n">
        <v>400000</v>
      </c>
      <c r="G8" s="24" t="n"/>
      <c r="I8" s="25" t="n"/>
      <c r="J8" s="26" t="n"/>
      <c r="K8" s="27" t="n"/>
      <c r="L8" s="27" t="n"/>
    </row>
    <row r="9" ht="19.5" customHeight="1">
      <c r="A9" s="28" t="n"/>
      <c r="B9" s="29" t="inlineStr">
        <is>
          <t>색채학</t>
        </is>
      </c>
      <c r="C9" s="22" t="n"/>
      <c r="D9" s="30" t="n">
        <v>1</v>
      </c>
      <c r="E9" s="31" t="inlineStr">
        <is>
          <t>평일 / 주말</t>
        </is>
      </c>
      <c r="F9" s="32" t="n">
        <v>400000</v>
      </c>
      <c r="G9" s="24" t="n"/>
      <c r="I9" s="25" t="n"/>
      <c r="J9" s="26" t="n"/>
      <c r="K9" s="27" t="n"/>
      <c r="L9" s="27" t="n"/>
    </row>
    <row r="10" ht="19.5" customHeight="1">
      <c r="A10" s="28" t="n"/>
      <c r="B10" s="29" t="inlineStr">
        <is>
          <t>해부학</t>
        </is>
      </c>
      <c r="C10" s="22" t="n"/>
      <c r="D10" s="30" t="n">
        <v>1</v>
      </c>
      <c r="E10" s="31" t="inlineStr">
        <is>
          <t>평일 / 주말</t>
        </is>
      </c>
      <c r="F10" s="32" t="n">
        <v>400000</v>
      </c>
      <c r="G10" s="24" t="n"/>
      <c r="I10" s="25" t="n"/>
      <c r="J10" s="26" t="n"/>
      <c r="K10" s="27" t="n"/>
      <c r="L10" s="27" t="n"/>
    </row>
    <row r="11" ht="19.5" customHeight="1">
      <c r="A11" s="28" t="n"/>
      <c r="B11" s="29" t="inlineStr">
        <is>
          <t>포토샵, 일러스트</t>
        </is>
      </c>
      <c r="C11" s="22" t="n"/>
      <c r="D11" s="30" t="n">
        <v>1</v>
      </c>
      <c r="E11" s="31" t="inlineStr">
        <is>
          <t>평일 / 주말</t>
        </is>
      </c>
      <c r="F11" s="32" t="n">
        <v>350000</v>
      </c>
      <c r="G11" s="24" t="n"/>
      <c r="I11" s="25" t="n"/>
      <c r="J11" s="26" t="n"/>
      <c r="K11" s="27" t="n"/>
      <c r="L11" s="27" t="n"/>
    </row>
    <row r="12" ht="19.5" customHeight="1">
      <c r="A12" s="28" t="n"/>
      <c r="B12" s="29" t="inlineStr">
        <is>
          <t>포토웍스, 디일러</t>
        </is>
      </c>
      <c r="C12" s="22" t="n"/>
      <c r="D12" s="30" t="n">
        <v>1</v>
      </c>
      <c r="E12" s="31" t="inlineStr">
        <is>
          <t>평일 / 주말</t>
        </is>
      </c>
      <c r="F12" s="32" t="n">
        <v>400000</v>
      </c>
      <c r="G12" s="24" t="n"/>
      <c r="I12" s="25" t="n"/>
      <c r="J12" s="26" t="n"/>
      <c r="K12" s="27" t="n"/>
      <c r="L12" s="27" t="n"/>
    </row>
    <row r="13" ht="19.5" customHeight="1">
      <c r="A13" s="28" t="n"/>
      <c r="B13" s="29" t="inlineStr">
        <is>
          <t>디지털드로잉 1 (타블렛 기초)</t>
        </is>
      </c>
      <c r="C13" s="22" t="n"/>
      <c r="D13" s="30" t="n">
        <v>1</v>
      </c>
      <c r="E13" s="31" t="inlineStr">
        <is>
          <t>평일 / 주말</t>
        </is>
      </c>
      <c r="F13" s="32" t="n">
        <v>500000</v>
      </c>
      <c r="G13" s="24" t="n"/>
      <c r="I13" s="25" t="n"/>
      <c r="J13" s="26" t="n"/>
      <c r="K13" s="27" t="n"/>
      <c r="L13" s="27" t="n"/>
    </row>
    <row r="14" ht="19.5" customHeight="1">
      <c r="A14" s="28" t="n"/>
      <c r="B14" s="29" t="inlineStr">
        <is>
          <t>디지털드로잉 2 (구도·얼굴묘사)</t>
        </is>
      </c>
      <c r="C14" s="22" t="n"/>
      <c r="D14" s="30" t="n">
        <v>1</v>
      </c>
      <c r="E14" s="31" t="inlineStr">
        <is>
          <t>평일 / 주말</t>
        </is>
      </c>
      <c r="F14" s="32" t="n">
        <v>500000</v>
      </c>
      <c r="G14" s="24" t="n"/>
      <c r="I14" s="25" t="n"/>
      <c r="J14" s="26" t="n"/>
      <c r="K14" s="27" t="n"/>
      <c r="L14" s="27" t="n"/>
    </row>
    <row r="15" ht="19.5" customHeight="1">
      <c r="A15" s="28" t="n"/>
      <c r="B15" s="29" t="inlineStr">
        <is>
          <t>디지털드로잉 3 (채색 기초)</t>
        </is>
      </c>
      <c r="C15" s="22" t="n"/>
      <c r="D15" s="30" t="n">
        <v>1</v>
      </c>
      <c r="E15" s="31" t="inlineStr">
        <is>
          <t>평일 / 주말</t>
        </is>
      </c>
      <c r="F15" s="32" t="n">
        <v>500000</v>
      </c>
      <c r="G15" s="24" t="n"/>
      <c r="I15" s="25" t="n"/>
      <c r="J15" s="26" t="n"/>
      <c r="K15" s="27" t="n"/>
      <c r="L15" s="27" t="n"/>
    </row>
    <row r="16" ht="19.5" customHeight="1">
      <c r="A16" s="28" t="n"/>
      <c r="B16" s="29" t="inlineStr">
        <is>
          <t>디지털드로잉 4 (채색심화)</t>
        </is>
      </c>
      <c r="C16" s="22" t="n"/>
      <c r="D16" s="30" t="n">
        <v>1</v>
      </c>
      <c r="E16" s="31" t="inlineStr">
        <is>
          <t>평일 / 주말</t>
        </is>
      </c>
      <c r="F16" s="32" t="n">
        <v>500000</v>
      </c>
      <c r="G16" s="24" t="n"/>
      <c r="I16" s="25" t="n"/>
      <c r="J16" s="26" t="n"/>
      <c r="K16" s="27" t="n"/>
      <c r="L16" s="27" t="n"/>
    </row>
    <row r="17" ht="19.5" customHeight="1">
      <c r="A17" s="28" t="n"/>
      <c r="B17" s="29" t="inlineStr">
        <is>
          <t>디지털드로잉 5 (반창작)</t>
        </is>
      </c>
      <c r="C17" s="22" t="n"/>
      <c r="D17" s="30" t="n">
        <v>1</v>
      </c>
      <c r="E17" s="31" t="inlineStr">
        <is>
          <t>평일 / 주말</t>
        </is>
      </c>
      <c r="F17" s="32" t="n">
        <v>500000</v>
      </c>
      <c r="G17" s="24" t="n"/>
      <c r="I17" s="25" t="n"/>
      <c r="J17" s="26" t="n"/>
      <c r="K17" s="27" t="n"/>
      <c r="L17" s="27" t="n"/>
    </row>
    <row r="18" ht="19.5" customHeight="1">
      <c r="A18" s="28" t="n"/>
      <c r="B18" s="29" t="inlineStr">
        <is>
          <t>디지털드로잉 6 (투시도·창작)</t>
        </is>
      </c>
      <c r="C18" s="22" t="n"/>
      <c r="D18" s="30" t="n">
        <v>1</v>
      </c>
      <c r="E18" s="31" t="inlineStr">
        <is>
          <t>평일 / 주말</t>
        </is>
      </c>
      <c r="F18" s="32" t="n">
        <v>500000</v>
      </c>
      <c r="G18" s="24" t="n"/>
      <c r="I18" s="25" t="n"/>
      <c r="J18" s="26" t="n"/>
      <c r="K18" s="27" t="n"/>
      <c r="L18" s="27" t="n"/>
    </row>
    <row r="19" ht="19.5" customHeight="1">
      <c r="A19" s="28" t="n"/>
      <c r="B19" s="29" t="inlineStr">
        <is>
          <t>AI 크리에이터-아트웍</t>
        </is>
      </c>
      <c r="C19" s="22" t="n"/>
      <c r="D19" s="30" t="n">
        <v>1</v>
      </c>
      <c r="E19" s="31" t="inlineStr">
        <is>
          <t>평일 / 주말</t>
        </is>
      </c>
      <c r="F19" s="32" t="n">
        <v>500000</v>
      </c>
      <c r="G19" s="24" t="n"/>
      <c r="I19" s="25" t="n"/>
      <c r="J19" s="26" t="n"/>
      <c r="K19" s="27" t="n"/>
      <c r="L19" s="27" t="n"/>
    </row>
    <row r="20" ht="19.5" customHeight="1">
      <c r="A20" s="28" t="n"/>
      <c r="B20" s="29" t="inlineStr">
        <is>
          <t>드로잉 포트폴리오 1</t>
        </is>
      </c>
      <c r="C20" s="22" t="n"/>
      <c r="D20" s="30" t="n">
        <v>1</v>
      </c>
      <c r="E20" s="31" t="inlineStr">
        <is>
          <t>평일 / 주말</t>
        </is>
      </c>
      <c r="F20" s="32" t="n">
        <v>600000</v>
      </c>
      <c r="G20" s="24" t="n"/>
      <c r="I20" s="25" t="n"/>
      <c r="J20" s="26" t="n"/>
      <c r="K20" s="27" t="n"/>
      <c r="L20" s="27" t="n"/>
    </row>
    <row r="21" ht="19.5" customHeight="1">
      <c r="A21" s="28" t="n"/>
      <c r="B21" s="29" t="inlineStr">
        <is>
          <t>드로잉 포트폴리오 2</t>
        </is>
      </c>
      <c r="C21" s="22" t="n"/>
      <c r="D21" s="30" t="n">
        <v>1</v>
      </c>
      <c r="E21" s="31" t="inlineStr">
        <is>
          <t>평일 / 주말</t>
        </is>
      </c>
      <c r="F21" s="32" t="n">
        <v>600000</v>
      </c>
      <c r="G21" s="24" t="n"/>
      <c r="I21" s="25" t="n"/>
      <c r="J21" s="26" t="n"/>
      <c r="K21" s="27" t="n"/>
      <c r="L21" s="27" t="n"/>
    </row>
    <row r="22" ht="19.5" customHeight="1">
      <c r="A22" s="28" t="n"/>
      <c r="B22" s="29" t="inlineStr">
        <is>
          <t>드로잉 포트폴리오 3</t>
        </is>
      </c>
      <c r="C22" s="22" t="n"/>
      <c r="D22" s="30" t="n">
        <v>1</v>
      </c>
      <c r="E22" s="31" t="inlineStr">
        <is>
          <t>평일 / 주말</t>
        </is>
      </c>
      <c r="F22" s="32" t="n">
        <v>600000</v>
      </c>
      <c r="G22" s="24" t="n"/>
      <c r="I22" s="25" t="n"/>
      <c r="J22" s="26" t="n"/>
      <c r="K22" s="27" t="n"/>
      <c r="L22" s="27" t="n"/>
    </row>
    <row r="23" ht="19.5" customHeight="1">
      <c r="A23" s="28" t="n"/>
      <c r="B23" s="29" t="inlineStr">
        <is>
          <t>드로잉 포트폴리오 4</t>
        </is>
      </c>
      <c r="C23" s="22" t="n"/>
      <c r="D23" s="30" t="n">
        <v>1</v>
      </c>
      <c r="E23" s="31" t="inlineStr">
        <is>
          <t>평일 / 주말</t>
        </is>
      </c>
      <c r="F23" s="32" t="n">
        <v>600000</v>
      </c>
      <c r="G23" s="24" t="n"/>
      <c r="I23" s="25" t="n"/>
      <c r="J23" s="26" t="n"/>
      <c r="K23" s="27" t="n"/>
      <c r="L23" s="27" t="n"/>
    </row>
    <row r="24" ht="33.6" customHeight="1">
      <c r="A24" s="33" t="inlineStr">
        <is>
          <t>따즈아</t>
        </is>
      </c>
      <c r="B24" s="34" t="inlineStr">
        <is>
          <t>온라인강의</t>
        </is>
      </c>
      <c r="C24" s="35" t="n">
        <v>0</v>
      </c>
      <c r="D24" s="36">
        <f>SUM(D8:D23)</f>
        <v/>
      </c>
      <c r="E24" s="37" t="inlineStr">
        <is>
          <t>원수강료</t>
        </is>
      </c>
      <c r="F24" s="38">
        <f>SUM(F8:F23)</f>
        <v/>
      </c>
      <c r="G24" s="39" t="n"/>
      <c r="I24" s="40" t="n"/>
      <c r="J24" s="40" t="n"/>
      <c r="K24" s="40" t="n"/>
      <c r="L24" s="40" t="n"/>
    </row>
    <row r="25" ht="19.5" customHeight="1">
      <c r="A25" s="41" t="inlineStr">
        <is>
          <t>■ 교육과정 할인내역</t>
        </is>
      </c>
      <c r="B25" s="42" t="n"/>
      <c r="C25" s="43" t="n"/>
      <c r="D25" s="44" t="n"/>
      <c r="E25" s="44" t="n"/>
      <c r="F25" s="45" t="n"/>
      <c r="G25" s="5" t="n"/>
      <c r="I25" s="40" t="n"/>
      <c r="J25" s="40" t="n"/>
      <c r="K25" s="40" t="n"/>
      <c r="L25" s="40" t="n"/>
    </row>
    <row r="26" ht="19.5" customHeight="1">
      <c r="A26" s="20" t="inlineStr">
        <is>
          <t>세부할인 내역</t>
        </is>
      </c>
      <c r="B26" s="46" t="n"/>
      <c r="C26" s="22" t="n"/>
      <c r="D26" s="21" t="inlineStr">
        <is>
          <t>할인율(%)</t>
        </is>
      </c>
      <c r="E26" s="47" t="inlineStr">
        <is>
          <t>할인금액</t>
        </is>
      </c>
      <c r="F26" s="46" t="n"/>
      <c r="G26" s="24" t="n"/>
    </row>
    <row r="27" ht="19.5" customHeight="1">
      <c r="A27" s="48" t="inlineStr">
        <is>
          <t>할인
내역</t>
        </is>
      </c>
      <c r="B27" s="49" t="inlineStr">
        <is>
          <t>겨울방학 할인</t>
        </is>
      </c>
      <c r="C27" s="46" t="n"/>
      <c r="D27" s="50" t="n">
        <v>0.15</v>
      </c>
      <c r="E27" s="51">
        <f>F24*D27</f>
        <v/>
      </c>
      <c r="F27" s="46" t="n"/>
      <c r="G27" s="24" t="n"/>
    </row>
    <row r="28" ht="19.5" customHeight="1">
      <c r="A28" s="52" t="n"/>
      <c r="B28" s="49" t="inlineStr">
        <is>
          <t>멘토직권 할인</t>
        </is>
      </c>
      <c r="C28" s="46" t="n"/>
      <c r="D28" s="53" t="n">
        <v>0.1</v>
      </c>
      <c r="E28" s="54">
        <f>(F24*(1-D27)*D28)</f>
        <v/>
      </c>
      <c r="F28" s="46" t="n"/>
      <c r="G28" s="24" t="n"/>
    </row>
    <row r="29" ht="19.5" customHeight="1">
      <c r="A29" s="55" t="n"/>
      <c r="B29" s="49" t="inlineStr">
        <is>
          <t>잔여석 지원 할인</t>
        </is>
      </c>
      <c r="C29" s="46" t="n"/>
      <c r="D29" s="56" t="n">
        <v>0.15</v>
      </c>
      <c r="E29" s="51">
        <f>(F24*(1-D27)*(1-D28)*D29)</f>
        <v/>
      </c>
      <c r="F29" s="46" t="n"/>
      <c r="G29" s="24" t="n"/>
      <c r="H29" s="40" t="n"/>
      <c r="I29" s="25" t="n"/>
      <c r="J29" s="26" t="n"/>
      <c r="K29" s="27" t="n"/>
      <c r="L29" s="27" t="n"/>
    </row>
    <row r="30" ht="19.5" customHeight="1">
      <c r="A30" s="57" t="inlineStr">
        <is>
          <t xml:space="preserve">총 할인금액 (수강지원)  </t>
        </is>
      </c>
      <c r="B30" s="46" t="n"/>
      <c r="C30" s="22" t="n"/>
      <c r="D30" s="58">
        <f>ROUNDUP(SUM(E27:G29),-3)</f>
        <v/>
      </c>
      <c r="E30" s="46" t="n"/>
      <c r="F30" s="46" t="n"/>
      <c r="G30" s="24" t="n"/>
      <c r="H30" s="40" t="n"/>
      <c r="I30" s="25" t="n"/>
      <c r="J30" s="26" t="n"/>
      <c r="K30" s="27" t="n"/>
      <c r="L30" s="27" t="n"/>
    </row>
    <row r="31" ht="23.25" customHeight="1">
      <c r="A31" s="59" t="inlineStr">
        <is>
          <t xml:space="preserve">납부 해야할 수강료 (할인적용)  </t>
        </is>
      </c>
      <c r="B31" s="46" t="n"/>
      <c r="C31" s="22" t="n"/>
      <c r="D31" s="60">
        <f>F24-D30</f>
        <v/>
      </c>
      <c r="E31" s="46" t="n"/>
      <c r="F31" s="46" t="n"/>
      <c r="G31" s="24" t="n"/>
      <c r="H31" s="40" t="n"/>
      <c r="I31" s="40" t="n"/>
      <c r="J31" s="40" t="n"/>
      <c r="K31" s="40" t="n"/>
      <c r="L31" s="40" t="n"/>
    </row>
    <row r="32" ht="23.25" customHeight="1">
      <c r="A32" s="59" t="inlineStr">
        <is>
          <t>총 등록금액</t>
        </is>
      </c>
      <c r="B32" s="46" t="n"/>
      <c r="C32" s="22" t="n"/>
      <c r="D32" s="60">
        <f>SUM(D31+C24)</f>
        <v/>
      </c>
      <c r="E32" s="46" t="n"/>
      <c r="F32" s="46" t="n"/>
      <c r="G32" s="24" t="n"/>
      <c r="H32" s="40" t="n"/>
    </row>
    <row r="33" ht="23.25" customHeight="1">
      <c r="A33" s="59" t="inlineStr">
        <is>
          <t>3개월 할부 진행시</t>
        </is>
      </c>
      <c r="B33" s="46" t="n"/>
      <c r="C33" s="22" t="n"/>
      <c r="D33" s="61">
        <f>SUM(D32/3)</f>
        <v/>
      </c>
      <c r="E33" s="46" t="n"/>
      <c r="F33" s="46" t="n"/>
      <c r="G33" s="24" t="n"/>
      <c r="H33" s="40" t="n"/>
    </row>
    <row r="34" ht="23.25" customHeight="1">
      <c r="A34" s="59" t="inlineStr">
        <is>
          <t>6개월 할부 진행시</t>
        </is>
      </c>
      <c r="B34" s="46" t="n"/>
      <c r="C34" s="22" t="n"/>
      <c r="D34" s="61">
        <f>SUM(D32/6)</f>
        <v/>
      </c>
      <c r="E34" s="46" t="n"/>
      <c r="F34" s="46" t="n"/>
      <c r="G34" s="24" t="n"/>
      <c r="H34" s="40" t="n"/>
    </row>
    <row r="35" ht="23.25" customHeight="1">
      <c r="A35" s="59" t="inlineStr">
        <is>
          <t>1과목당 수강료</t>
        </is>
      </c>
      <c r="B35" s="46" t="n"/>
      <c r="C35" s="22" t="n"/>
      <c r="D35" s="61">
        <f>SUM(D31/D24)</f>
        <v/>
      </c>
      <c r="E35" s="46" t="n"/>
      <c r="F35" s="46" t="n"/>
      <c r="G35" s="24" t="n"/>
      <c r="H35" s="40" t="n"/>
    </row>
    <row r="36" ht="16.5" customHeight="1">
      <c r="A36" s="62" t="n"/>
      <c r="B36" s="63" t="n"/>
      <c r="G36" s="64" t="n"/>
      <c r="I36" s="65" t="n"/>
      <c r="J36" s="40" t="n"/>
      <c r="K36" s="40" t="n"/>
      <c r="L36" s="40" t="n"/>
    </row>
    <row r="37" ht="16.5" customHeight="1">
      <c r="A37" s="66" t="inlineStr">
        <is>
          <t>■ 안내사항</t>
        </is>
      </c>
      <c r="B37" s="63" t="n"/>
      <c r="C37" s="63" t="n"/>
      <c r="D37" s="63" t="n"/>
      <c r="E37" s="63" t="n"/>
      <c r="F37" s="63" t="n"/>
      <c r="G37" s="64" t="n"/>
      <c r="I37" s="65" t="n"/>
      <c r="J37" s="40" t="n"/>
      <c r="K37" s="40" t="n"/>
      <c r="L37" s="40" t="n"/>
    </row>
    <row r="38" ht="16.5" customHeight="1">
      <c r="A38" s="62" t="inlineStr">
        <is>
          <t xml:space="preserve">   1) 위 수강료는 학원내 게시되어 있는 수강료 기준이며, 교육청에 신고된 금액입니다.</t>
        </is>
      </c>
      <c r="B38" s="63" t="n"/>
      <c r="C38" s="63" t="n"/>
      <c r="D38" s="63" t="n"/>
      <c r="E38" s="63" t="n"/>
      <c r="F38" s="63" t="n"/>
      <c r="G38" s="64" t="n"/>
      <c r="I38" s="40" t="n"/>
      <c r="J38" s="40" t="n"/>
      <c r="K38" s="40" t="n"/>
      <c r="L38" s="40" t="n"/>
    </row>
    <row r="39" ht="16.5" customHeight="1">
      <c r="A39" s="62" t="inlineStr">
        <is>
          <t xml:space="preserve">   2) 위 할인내역은 해당사항에 한해 적용되며, 할인내용에 해당될 시 증명서류를 증빙해야 할인 받을 수 있습니다.</t>
        </is>
      </c>
      <c r="B39" s="63" t="n"/>
      <c r="C39" s="63" t="n"/>
      <c r="D39" s="63" t="n"/>
      <c r="E39" s="63" t="n"/>
      <c r="F39" s="63" t="n"/>
      <c r="G39" s="64" t="n"/>
      <c r="I39" s="40" t="n"/>
      <c r="J39" s="40" t="n"/>
      <c r="K39" s="40" t="n"/>
      <c r="L39" s="40" t="n"/>
    </row>
    <row r="40" ht="16.5" customHeight="1">
      <c r="A40" s="62" t="inlineStr">
        <is>
          <t xml:space="preserve">   3) 할인금액은 수강과목지원(무료)으로 진행됩니다.</t>
        </is>
      </c>
      <c r="B40" s="44" t="n"/>
      <c r="C40" s="44" t="n"/>
      <c r="D40" s="67" t="n"/>
      <c r="E40" s="67" t="n"/>
      <c r="F40" s="68" t="n"/>
      <c r="G40" s="69" t="n"/>
    </row>
    <row r="41" ht="16.5" customHeight="1">
      <c r="A41" s="62" t="n"/>
      <c r="B41" s="44" t="n"/>
      <c r="C41" s="44" t="n"/>
      <c r="D41" s="67" t="n"/>
      <c r="E41" s="67" t="n"/>
      <c r="F41" s="68" t="n"/>
      <c r="G41" s="69" t="n"/>
    </row>
    <row r="42" ht="16.5" customHeight="1">
      <c r="A42" s="66" t="inlineStr">
        <is>
          <t>■ 수강료 납부 안내</t>
        </is>
      </c>
      <c r="B42" s="70" t="n"/>
      <c r="C42" s="70" t="n"/>
      <c r="D42" s="71" t="n"/>
      <c r="E42" s="71" t="n"/>
      <c r="F42" s="71" t="n"/>
      <c r="G42" s="72" t="n"/>
    </row>
    <row r="43" ht="16.5" customHeight="1">
      <c r="A43" s="62" t="inlineStr">
        <is>
          <t xml:space="preserve">    1) 현금수납 - 학원 안내접수처에서 접수 및 결제(현금영수증 발행)</t>
        </is>
      </c>
      <c r="B43" s="73" t="n"/>
      <c r="C43" s="73" t="n"/>
      <c r="D43" s="71" t="n"/>
      <c r="E43" s="71" t="n"/>
      <c r="F43" s="71" t="n"/>
      <c r="G43" s="72" t="n"/>
    </row>
    <row r="44" ht="16.5" customHeight="1">
      <c r="A44" s="62" t="inlineStr">
        <is>
          <t xml:space="preserve">    2) 온라인입금(계좌이체) 결제(현금영수증 발행)</t>
        </is>
      </c>
      <c r="B44" s="73" t="n"/>
      <c r="C44" s="73" t="n"/>
      <c r="D44" s="71" t="n"/>
      <c r="E44" s="71" t="n"/>
      <c r="F44" s="71" t="n"/>
      <c r="G44" s="72" t="n"/>
    </row>
    <row r="45" ht="16.5" customHeight="1">
      <c r="A45" s="66" t="n"/>
      <c r="B45" s="74" t="n"/>
      <c r="C45" s="74" t="n"/>
      <c r="D45" s="71" t="n"/>
      <c r="E45" s="71" t="n"/>
      <c r="F45" s="71" t="n"/>
      <c r="G45" s="72" t="n"/>
    </row>
    <row r="46" ht="16.5" customHeight="1">
      <c r="A46" s="62" t="inlineStr">
        <is>
          <t xml:space="preserve">    3) 카드수납 - 학원 안내접수처에서 접수 및 결제 or 카드번호 결제(키인결제)</t>
        </is>
      </c>
      <c r="B46" s="75" t="n"/>
      <c r="C46" s="75" t="n"/>
      <c r="D46" s="71" t="n"/>
      <c r="E46" s="71" t="n"/>
      <c r="F46" s="71" t="n"/>
      <c r="G46" s="72" t="n"/>
    </row>
    <row r="47" ht="16.5" customHeight="1">
      <c r="A47" s="62" t="inlineStr">
        <is>
          <t xml:space="preserve">                     - 학원 홈페이지(모바일, PC) 결제 &gt; 담당멘토 문의</t>
        </is>
      </c>
      <c r="B47" s="75" t="n"/>
      <c r="C47" s="75" t="n"/>
      <c r="D47" s="71" t="n"/>
      <c r="E47" s="71" t="n"/>
      <c r="F47" s="71" t="n"/>
      <c r="G47" s="72" t="n"/>
    </row>
    <row r="48" ht="16.5" customHeight="1">
      <c r="A48" s="62" t="inlineStr">
        <is>
          <t xml:space="preserve">      * 카드사별 무이자 할부 혜택 상이함</t>
        </is>
      </c>
      <c r="B48" s="76" t="n"/>
      <c r="C48" s="76" t="n"/>
      <c r="D48" s="71" t="n"/>
      <c r="E48" s="71" t="n"/>
      <c r="F48" s="71" t="n"/>
      <c r="G48" s="72" t="n"/>
    </row>
  </sheetData>
  <mergeCells count="59">
    <mergeCell ref="F4:G4"/>
    <mergeCell ref="F11:G11"/>
    <mergeCell ref="B16:C16"/>
    <mergeCell ref="E28:G28"/>
    <mergeCell ref="B7:C7"/>
    <mergeCell ref="F10:G10"/>
    <mergeCell ref="F16:G16"/>
    <mergeCell ref="F19:G19"/>
    <mergeCell ref="F25:G25"/>
    <mergeCell ref="D30:G30"/>
    <mergeCell ref="B22:C22"/>
    <mergeCell ref="D33:G33"/>
    <mergeCell ref="B18:C18"/>
    <mergeCell ref="B27:C27"/>
    <mergeCell ref="A26:C26"/>
    <mergeCell ref="F7:G7"/>
    <mergeCell ref="B12:C12"/>
    <mergeCell ref="F21:G21"/>
    <mergeCell ref="B21:C21"/>
    <mergeCell ref="F12:G12"/>
    <mergeCell ref="F24:G24"/>
    <mergeCell ref="A33:C33"/>
    <mergeCell ref="B11:C11"/>
    <mergeCell ref="F15:G15"/>
    <mergeCell ref="E27:G27"/>
    <mergeCell ref="A32:C32"/>
    <mergeCell ref="D35:G35"/>
    <mergeCell ref="F20:G20"/>
    <mergeCell ref="F18:G18"/>
    <mergeCell ref="B23:C23"/>
    <mergeCell ref="E26:G26"/>
    <mergeCell ref="B14:C14"/>
    <mergeCell ref="D34:G34"/>
    <mergeCell ref="B17:C17"/>
    <mergeCell ref="A35:C35"/>
    <mergeCell ref="B8:C8"/>
    <mergeCell ref="F17:G17"/>
    <mergeCell ref="F8:G8"/>
    <mergeCell ref="B13:C13"/>
    <mergeCell ref="A1:G3"/>
    <mergeCell ref="D31:G31"/>
    <mergeCell ref="B29:C29"/>
    <mergeCell ref="B19:C19"/>
    <mergeCell ref="A31:C31"/>
    <mergeCell ref="B10:C10"/>
    <mergeCell ref="F23:G23"/>
    <mergeCell ref="B28:C28"/>
    <mergeCell ref="F22:G22"/>
    <mergeCell ref="A30:C30"/>
    <mergeCell ref="F13:G13"/>
    <mergeCell ref="B9:C9"/>
    <mergeCell ref="A34:C34"/>
    <mergeCell ref="F9:G9"/>
    <mergeCell ref="D32:G32"/>
    <mergeCell ref="B15:C15"/>
    <mergeCell ref="B20:C20"/>
    <mergeCell ref="F14:G14"/>
    <mergeCell ref="E29:G29"/>
    <mergeCell ref="A27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2026-05-13T09:38:26Z</dcterms:created>
  <dcterms:modified xmlns:dcterms="http://purl.org/dc/terms/" xmlns:xsi="http://www.w3.org/2001/XMLSchema-instance" xsi:type="dcterms:W3CDTF">2026-05-13T09:38:28Z</dcterms:modified>
</cp:coreProperties>
</file>