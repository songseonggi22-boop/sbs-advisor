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1" showHorizontalScroll="1" showVerticalScroll="1" showSheetTabs="1" xWindow="0" yWindow="0" windowWidth="28800" windowHeight="12285" tabRatio="862" firstSheet="0" activeTab="0" autoFilterDateGrouping="1"/>
  </bookViews>
  <sheets>
    <sheet xmlns:r="http://schemas.openxmlformats.org/officeDocument/2006/relationships" name="단과과정" sheetId="1" state="visible" r:id="rId1"/>
    <sheet xmlns:r="http://schemas.openxmlformats.org/officeDocument/2006/relationships" name="JS풀스택" sheetId="2" state="visible" r:id="rId2"/>
    <sheet xmlns:r="http://schemas.openxmlformats.org/officeDocument/2006/relationships" name="스프링풀스택" sheetId="3" state="visible" r:id="rId3"/>
    <sheet xmlns:r="http://schemas.openxmlformats.org/officeDocument/2006/relationships" name="AI인공지능빅데이터" sheetId="4" state="visible" r:id="rId4"/>
    <sheet xmlns:r="http://schemas.openxmlformats.org/officeDocument/2006/relationships" name="정보보안" sheetId="5" state="visible" r:id="rId5"/>
    <sheet xmlns:r="http://schemas.openxmlformats.org/officeDocument/2006/relationships" name="빅데이터 자격증" sheetId="6" state="visible" r:id="rId6"/>
    <sheet xmlns:r="http://schemas.openxmlformats.org/officeDocument/2006/relationships" name="정처기" sheetId="7" state="visible" r:id="rId7"/>
    <sheet xmlns:r="http://schemas.openxmlformats.org/officeDocument/2006/relationships" name="CCNA" sheetId="8" state="visible" r:id="rId8"/>
    <sheet xmlns:r="http://schemas.openxmlformats.org/officeDocument/2006/relationships" name="방특 전과목" sheetId="9" state="visible" r:id="rId9"/>
  </sheets>
  <definedNames>
    <definedName name="_xlnm.Print_Area" localSheetId="0">'단과과정'!$A$1:$G$35</definedName>
    <definedName name="_xlnm.Print_Area" localSheetId="1">'JS풀스택'!$A$1:$G$44</definedName>
    <definedName name="_xlnm.Print_Area" localSheetId="2">'스프링풀스택'!$A$1:$G$44</definedName>
    <definedName name="_xlnm.Print_Area" localSheetId="3">'AI인공지능빅데이터'!$A$1:$G$44</definedName>
    <definedName name="_xlnm.Print_Area" localSheetId="4">'정보보안'!$A$1:$G$53</definedName>
    <definedName name="_xlnm.Print_Area" localSheetId="5">'빅데이터 자격증'!$A$1:$G$42</definedName>
    <definedName name="_xlnm.Print_Area" localSheetId="6">'정처기'!$A$1:$G$43</definedName>
    <definedName name="_xlnm.Print_Area" localSheetId="7">'CCNA'!$A$1:$G$35</definedName>
    <definedName name="_xlnm.Print_Area" localSheetId="8">'방특 전과목'!$A$1:$G$44</definedName>
  </definedNames>
  <calcPr calcId="162913" calcMode="auto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0&quot;개월&quot;"/>
    <numFmt numFmtId="166" formatCode="&quot;총&quot;\ 0\ &quot;개월&quot;"/>
    <numFmt numFmtId="167" formatCode="_-* #,##0_-;\-* #,##0_-;_-* &quot;-&quot;??_-;_-@_-"/>
  </numFmts>
  <fonts count="22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11"/>
    </font>
    <font>
      <name val="굴림"/>
      <charset val="129"/>
      <family val="3"/>
      <sz val="10"/>
    </font>
    <font>
      <name val="굴림"/>
      <charset val="129"/>
      <family val="3"/>
      <b val="1"/>
      <sz val="18"/>
    </font>
    <font>
      <name val="굴림"/>
      <charset val="129"/>
      <family val="3"/>
      <sz val="8"/>
    </font>
    <font>
      <name val="굴림"/>
      <charset val="129"/>
      <family val="3"/>
      <b val="1"/>
      <sz val="9"/>
    </font>
    <font>
      <name val="굴림"/>
      <charset val="129"/>
      <family val="3"/>
      <sz val="9"/>
    </font>
    <font>
      <name val="휴먼모음T"/>
      <charset val="129"/>
      <family val="1"/>
      <sz val="8"/>
    </font>
    <font>
      <name val="함초롬돋움 확장"/>
      <charset val="129"/>
      <family val="1"/>
      <b val="1"/>
      <sz val="10"/>
      <u val="single"/>
    </font>
    <font>
      <name val="함초롬돋움 확장"/>
      <charset val="129"/>
      <family val="1"/>
      <b val="1"/>
      <sz val="10"/>
    </font>
    <font>
      <name val="HyhwpEQ"/>
      <charset val="129"/>
      <family val="1"/>
      <sz val="8"/>
    </font>
    <font>
      <name val="HyhwpEQ"/>
      <charset val="129"/>
      <family val="1"/>
      <color indexed="8"/>
      <sz val="8"/>
    </font>
    <font>
      <name val="HyhwpEQ"/>
      <charset val="129"/>
      <family val="1"/>
      <sz val="9"/>
    </font>
    <font>
      <name val="휴먼모음T"/>
      <charset val="129"/>
      <family val="1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0"/>
      <scheme val="minor"/>
    </font>
    <font>
      <name val="굴림"/>
      <charset val="129"/>
      <family val="3"/>
      <b val="1"/>
      <sz val="10"/>
    </font>
    <font>
      <name val="굴림"/>
      <charset val="129"/>
      <family val="3"/>
      <b val="1"/>
      <color rgb="FFC00000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22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4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41" fontId="17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1" fontId="17" fillId="0" borderId="0" applyAlignment="1">
      <alignment vertical="center"/>
    </xf>
  </cellStyleXfs>
  <cellXfs count="19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8" fillId="0" borderId="9" applyAlignment="1" pivotButton="0" quotePrefix="0" xfId="0">
      <alignment horizontal="left" vertical="center"/>
    </xf>
    <xf numFmtId="0" fontId="8" fillId="2" borderId="11" applyAlignment="1" pivotButton="0" quotePrefix="0" xfId="0">
      <alignment horizontal="center" vertical="center"/>
    </xf>
    <xf numFmtId="164" fontId="18" fillId="4" borderId="0" applyAlignment="1" pivotButton="0" quotePrefix="0" xfId="1">
      <alignment horizontal="left" vertical="center"/>
    </xf>
    <xf numFmtId="164" fontId="19" fillId="4" borderId="0" applyAlignment="1" pivotButton="0" quotePrefix="0" xfId="1">
      <alignment horizontal="left" vertical="center"/>
    </xf>
    <xf numFmtId="0" fontId="3" fillId="0" borderId="0" applyAlignment="1" pivotButton="0" quotePrefix="0" xfId="0">
      <alignment horizontal="left" vertical="center"/>
    </xf>
    <xf numFmtId="9" fontId="3" fillId="0" borderId="0" applyAlignment="1" pivotButton="0" quotePrefix="0" xfId="0">
      <alignment horizontal="center" vertical="center"/>
    </xf>
    <xf numFmtId="9" fontId="8" fillId="0" borderId="4" applyAlignment="1" pivotButton="0" quotePrefix="0" xfId="5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9" fillId="3" borderId="9" applyAlignment="1" pivotButton="0" quotePrefix="0" xfId="0">
      <alignment horizontal="left" vertical="center"/>
    </xf>
    <xf numFmtId="0" fontId="7" fillId="3" borderId="0" applyAlignment="1" pivotButton="0" quotePrefix="0" xfId="0">
      <alignment vertical="center"/>
    </xf>
    <xf numFmtId="0" fontId="13" fillId="3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8" fillId="3" borderId="9" applyAlignment="1" pivotButton="0" quotePrefix="0" xfId="0">
      <alignment horizontal="left" vertical="center"/>
    </xf>
    <xf numFmtId="0" fontId="11" fillId="3" borderId="0" applyAlignment="1" pivotButton="0" quotePrefix="0" xfId="0">
      <alignment vertical="center"/>
    </xf>
    <xf numFmtId="0" fontId="1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5" fillId="3" borderId="13" applyAlignment="1" pivotButton="0" quotePrefix="0" xfId="0">
      <alignment horizontal="left" vertical="center"/>
    </xf>
    <xf numFmtId="0" fontId="3" fillId="3" borderId="14" applyAlignment="1" pivotButton="0" quotePrefix="0" xfId="0">
      <alignment horizontal="center" vertical="center"/>
    </xf>
    <xf numFmtId="0" fontId="3" fillId="3" borderId="15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14" fontId="20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4" fillId="3" borderId="9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vertical="center"/>
    </xf>
    <xf numFmtId="0" fontId="20" fillId="3" borderId="10" applyAlignment="1" pivotButton="0" quotePrefix="0" xfId="0">
      <alignment vertical="center"/>
    </xf>
    <xf numFmtId="0" fontId="3" fillId="3" borderId="9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4" fontId="7" fillId="3" borderId="10" applyAlignment="1" pivotButton="0" quotePrefix="0" xfId="0">
      <alignment vertical="center"/>
    </xf>
    <xf numFmtId="0" fontId="4" fillId="3" borderId="0" applyAlignment="1" pivotButton="0" quotePrefix="0" xfId="0">
      <alignment horizontal="right" vertical="center"/>
    </xf>
    <xf numFmtId="14" fontId="4" fillId="3" borderId="0" applyAlignment="1" pivotButton="0" quotePrefix="0" xfId="0">
      <alignment horizontal="center" vertical="center"/>
    </xf>
    <xf numFmtId="14" fontId="4" fillId="3" borderId="0" applyAlignment="1" pivotButton="0" quotePrefix="0" xfId="0">
      <alignment horizontal="right" vertical="center"/>
    </xf>
    <xf numFmtId="9" fontId="8" fillId="0" borderId="1" applyAlignment="1" pivotButton="0" quotePrefix="0" xfId="5">
      <alignment horizontal="center" vertical="center"/>
    </xf>
    <xf numFmtId="0" fontId="7" fillId="3" borderId="0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9" fontId="8" fillId="0" borderId="2" applyAlignment="1" pivotButton="0" quotePrefix="0" xfId="5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8" fillId="0" borderId="9" applyAlignment="1" pivotButton="0" quotePrefix="0" xfId="0">
      <alignment horizontal="left" vertical="center"/>
    </xf>
    <xf numFmtId="0" fontId="8" fillId="2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9" fontId="3" fillId="0" borderId="0" applyAlignment="1" pivotButton="0" quotePrefix="0" xfId="0">
      <alignment horizontal="center" vertical="center"/>
    </xf>
    <xf numFmtId="9" fontId="8" fillId="0" borderId="4" applyAlignment="1" pivotButton="0" quotePrefix="0" xfId="5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9" fillId="3" borderId="9" applyAlignment="1" pivotButton="0" quotePrefix="0" xfId="0">
      <alignment horizontal="left" vertical="center"/>
    </xf>
    <xf numFmtId="0" fontId="7" fillId="3" borderId="0" applyAlignment="1" pivotButton="0" quotePrefix="0" xfId="0">
      <alignment vertical="center"/>
    </xf>
    <xf numFmtId="0" fontId="13" fillId="3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8" fillId="3" borderId="9" applyAlignment="1" pivotButton="0" quotePrefix="0" xfId="0">
      <alignment horizontal="left" vertical="center"/>
    </xf>
    <xf numFmtId="0" fontId="11" fillId="3" borderId="0" applyAlignment="1" pivotButton="0" quotePrefix="0" xfId="0">
      <alignment vertical="center"/>
    </xf>
    <xf numFmtId="0" fontId="1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5" fillId="3" borderId="13" applyAlignment="1" pivotButton="0" quotePrefix="0" xfId="0">
      <alignment horizontal="left" vertical="center"/>
    </xf>
    <xf numFmtId="0" fontId="3" fillId="3" borderId="14" applyAlignment="1" pivotButton="0" quotePrefix="0" xfId="0">
      <alignment horizontal="center" vertical="center"/>
    </xf>
    <xf numFmtId="0" fontId="3" fillId="3" borderId="15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14" fontId="20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4" fillId="3" borderId="9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vertical="center"/>
    </xf>
    <xf numFmtId="0" fontId="20" fillId="3" borderId="10" applyAlignment="1" pivotButton="0" quotePrefix="0" xfId="0">
      <alignment vertical="center"/>
    </xf>
    <xf numFmtId="0" fontId="3" fillId="3" borderId="9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4" fontId="7" fillId="3" borderId="10" applyAlignment="1" pivotButton="0" quotePrefix="0" xfId="0">
      <alignment vertical="center"/>
    </xf>
    <xf numFmtId="0" fontId="4" fillId="3" borderId="0" applyAlignment="1" pivotButton="0" quotePrefix="0" xfId="0">
      <alignment horizontal="right" vertical="center"/>
    </xf>
    <xf numFmtId="14" fontId="4" fillId="3" borderId="0" applyAlignment="1" pivotButton="0" quotePrefix="0" xfId="0">
      <alignment horizontal="center" vertical="center"/>
    </xf>
    <xf numFmtId="14" fontId="4" fillId="3" borderId="0" applyAlignment="1" pivotButton="0" quotePrefix="0" xfId="0">
      <alignment horizontal="right" vertical="center"/>
    </xf>
    <xf numFmtId="9" fontId="8" fillId="0" borderId="1" applyAlignment="1" pivotButton="0" quotePrefix="0" xfId="5">
      <alignment horizontal="center" vertical="center"/>
    </xf>
    <xf numFmtId="166" fontId="8" fillId="6" borderId="17" applyAlignment="1" pivotButton="0" quotePrefix="0" xfId="0">
      <alignment horizontal="center" vertical="center" wrapText="1"/>
    </xf>
    <xf numFmtId="0" fontId="8" fillId="6" borderId="29" applyAlignment="1" pivotButton="0" quotePrefix="0" xfId="0">
      <alignment horizontal="center" vertical="center" wrapText="1"/>
    </xf>
    <xf numFmtId="0" fontId="8" fillId="6" borderId="30" applyAlignment="1" pivotButton="0" quotePrefix="0" xfId="0">
      <alignment horizontal="center" vertical="center" wrapText="1"/>
    </xf>
    <xf numFmtId="166" fontId="8" fillId="6" borderId="3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left" vertical="center"/>
    </xf>
    <xf numFmtId="0" fontId="7" fillId="3" borderId="5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0" fontId="8" fillId="3" borderId="32" applyAlignment="1" pivotButton="0" quotePrefix="0" xfId="0">
      <alignment vertical="center" wrapText="1"/>
    </xf>
    <xf numFmtId="0" fontId="9" fillId="0" borderId="27" applyAlignment="1" pivotButton="0" quotePrefix="0" xfId="0">
      <alignment vertical="center"/>
    </xf>
    <xf numFmtId="3" fontId="9" fillId="0" borderId="33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 wrapText="1"/>
    </xf>
    <xf numFmtId="0" fontId="9" fillId="0" borderId="3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164" fontId="9" fillId="0" borderId="3" applyAlignment="1" pivotButton="0" quotePrefix="0" xfId="1">
      <alignment horizontal="center" vertical="center"/>
    </xf>
    <xf numFmtId="164" fontId="9" fillId="0" borderId="18" applyAlignment="1" pivotButton="0" quotePrefix="0" xfId="1">
      <alignment horizontal="center" vertical="center"/>
    </xf>
    <xf numFmtId="0" fontId="8" fillId="2" borderId="12" applyAlignment="1" pivotButton="0" quotePrefix="0" xfId="0">
      <alignment horizontal="center" vertical="center"/>
    </xf>
    <xf numFmtId="0" fontId="8" fillId="2" borderId="20" applyAlignment="1" pivotButton="0" quotePrefix="0" xfId="0">
      <alignment horizontal="center" vertical="center"/>
    </xf>
    <xf numFmtId="164" fontId="8" fillId="6" borderId="25" applyAlignment="1" pivotButton="0" quotePrefix="0" xfId="0">
      <alignment horizontal="center" vertical="center" wrapText="1"/>
    </xf>
    <xf numFmtId="164" fontId="8" fillId="6" borderId="19" applyAlignment="1" pivotButton="0" quotePrefix="0" xfId="0">
      <alignment horizontal="center" vertical="center" wrapText="1"/>
    </xf>
    <xf numFmtId="164" fontId="9" fillId="0" borderId="27" applyAlignment="1" pivotButton="0" quotePrefix="0" xfId="1">
      <alignment horizontal="center" vertical="center"/>
    </xf>
    <xf numFmtId="164" fontId="9" fillId="0" borderId="28" applyAlignment="1" pivotButton="0" quotePrefix="0" xfId="1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/>
    </xf>
    <xf numFmtId="164" fontId="8" fillId="2" borderId="3" applyAlignment="1" pivotButton="0" quotePrefix="0" xfId="1">
      <alignment horizontal="center" vertical="center"/>
    </xf>
    <xf numFmtId="164" fontId="8" fillId="2" borderId="20" applyAlignment="1" pivotButton="0" quotePrefix="0" xfId="1">
      <alignment horizontal="center" vertical="center"/>
    </xf>
    <xf numFmtId="164" fontId="8" fillId="2" borderId="18" applyAlignment="1" pivotButton="0" quotePrefix="0" xfId="1">
      <alignment horizontal="center" vertical="center"/>
    </xf>
    <xf numFmtId="164" fontId="8" fillId="3" borderId="20" applyAlignment="1" pivotButton="0" quotePrefix="0" xfId="1">
      <alignment horizontal="center" vertical="center"/>
    </xf>
    <xf numFmtId="164" fontId="8" fillId="3" borderId="18" applyAlignment="1" pivotButton="0" quotePrefix="0" xfId="1">
      <alignment horizontal="center" vertical="center"/>
    </xf>
    <xf numFmtId="164" fontId="8" fillId="3" borderId="3" applyAlignment="1" pivotButton="0" quotePrefix="0" xfId="1">
      <alignment horizontal="center" vertical="center"/>
    </xf>
    <xf numFmtId="0" fontId="8" fillId="6" borderId="12" applyAlignment="1" pivotButton="0" quotePrefix="0" xfId="0">
      <alignment horizontal="center" vertical="center"/>
    </xf>
    <xf numFmtId="0" fontId="8" fillId="6" borderId="20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4" fontId="8" fillId="6" borderId="3" applyAlignment="1" pivotButton="0" quotePrefix="0" xfId="0">
      <alignment horizontal="center" vertical="center"/>
    </xf>
    <xf numFmtId="164" fontId="8" fillId="6" borderId="20" applyAlignment="1" pivotButton="0" quotePrefix="0" xfId="0">
      <alignment horizontal="center" vertical="center"/>
    </xf>
    <xf numFmtId="164" fontId="8" fillId="6" borderId="18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vertical="center"/>
    </xf>
    <xf numFmtId="0" fontId="8" fillId="7" borderId="20" applyAlignment="1" pivotButton="0" quotePrefix="0" xfId="0">
      <alignment horizontal="center" vertical="center"/>
    </xf>
    <xf numFmtId="0" fontId="8" fillId="7" borderId="18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21" fillId="6" borderId="12" applyAlignment="1" pivotButton="0" quotePrefix="0" xfId="0">
      <alignment horizontal="center" vertical="center"/>
    </xf>
    <xf numFmtId="0" fontId="21" fillId="6" borderId="20" applyAlignment="1" pivotButton="0" quotePrefix="0" xfId="0">
      <alignment horizontal="center" vertical="center"/>
    </xf>
    <xf numFmtId="0" fontId="21" fillId="6" borderId="2" applyAlignment="1" pivotButton="0" quotePrefix="0" xfId="0">
      <alignment horizontal="center" vertical="center"/>
    </xf>
    <xf numFmtId="164" fontId="21" fillId="6" borderId="3" applyAlignment="1" pivotButton="0" quotePrefix="0" xfId="0">
      <alignment horizontal="center" vertical="center"/>
    </xf>
    <xf numFmtId="164" fontId="21" fillId="6" borderId="20" applyAlignment="1" pivotButton="0" quotePrefix="0" xfId="0">
      <alignment horizontal="center" vertical="center"/>
    </xf>
    <xf numFmtId="164" fontId="21" fillId="6" borderId="18" applyAlignment="1" pivotButton="0" quotePrefix="0" xfId="0">
      <alignment horizontal="center" vertical="center"/>
    </xf>
    <xf numFmtId="167" fontId="8" fillId="6" borderId="3" applyAlignment="1" pivotButton="0" quotePrefix="0" xfId="0">
      <alignment horizontal="center" vertical="center"/>
    </xf>
    <xf numFmtId="167" fontId="8" fillId="6" borderId="20" applyAlignment="1" pivotButton="0" quotePrefix="0" xfId="0">
      <alignment horizontal="center" vertical="center"/>
    </xf>
    <xf numFmtId="167" fontId="8" fillId="6" borderId="18" applyAlignment="1" pivotButton="0" quotePrefix="0" xfId="0">
      <alignment horizontal="center" vertical="center"/>
    </xf>
    <xf numFmtId="164" fontId="8" fillId="6" borderId="30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26" applyAlignment="1" pivotButton="0" quotePrefix="0" xfId="0">
      <alignment vertical="center"/>
    </xf>
    <xf numFmtId="0" fontId="9" fillId="0" borderId="23" applyAlignment="1" pivotButton="0" quotePrefix="0" xfId="0">
      <alignment vertical="center"/>
    </xf>
    <xf numFmtId="0" fontId="0" fillId="0" borderId="0" pivotButton="0" quotePrefix="0" xfId="0"/>
    <xf numFmtId="0" fontId="6" fillId="5" borderId="3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8" fillId="2" borderId="34" applyAlignment="1" pivotButton="0" quotePrefix="0" xfId="0">
      <alignment horizontal="center" vertical="center"/>
    </xf>
    <xf numFmtId="0" fontId="0" fillId="0" borderId="18" pivotButton="0" quotePrefix="0" xfId="0"/>
    <xf numFmtId="164" fontId="18" fillId="4" borderId="0" applyAlignment="1" pivotButton="0" quotePrefix="0" xfId="1">
      <alignment horizontal="left" vertical="center"/>
    </xf>
    <xf numFmtId="164" fontId="19" fillId="4" borderId="0" applyAlignment="1" pivotButton="0" quotePrefix="0" xfId="1">
      <alignment horizontal="left" vertical="center"/>
    </xf>
    <xf numFmtId="0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horizontal="center" vertical="center"/>
    </xf>
    <xf numFmtId="164" fontId="9" fillId="0" borderId="34" applyAlignment="1" pivotButton="0" quotePrefix="0" xfId="1">
      <alignment horizontal="center" vertical="center"/>
    </xf>
    <xf numFmtId="0" fontId="0" fillId="0" borderId="16" pivotButton="0" quotePrefix="0" xfId="0"/>
    <xf numFmtId="166" fontId="8" fillId="6" borderId="17" applyAlignment="1" pivotButton="0" quotePrefix="0" xfId="0">
      <alignment horizontal="center" vertical="center" wrapText="1"/>
    </xf>
    <xf numFmtId="164" fontId="8" fillId="6" borderId="19" applyAlignment="1" pivotButton="0" quotePrefix="0" xfId="0">
      <alignment horizontal="center" vertical="center" wrapText="1"/>
    </xf>
    <xf numFmtId="0" fontId="0" fillId="0" borderId="19" pivotButton="0" quotePrefix="0" xfId="0"/>
    <xf numFmtId="0" fontId="7" fillId="3" borderId="10" applyAlignment="1" pivotButton="0" quotePrefix="0" xfId="0">
      <alignment horizontal="center" vertical="center"/>
    </xf>
    <xf numFmtId="0" fontId="0" fillId="0" borderId="20" pivotButton="0" quotePrefix="0" xfId="0"/>
    <xf numFmtId="164" fontId="8" fillId="2" borderId="34" applyAlignment="1" pivotButton="0" quotePrefix="0" xfId="1">
      <alignment horizontal="center" vertical="center"/>
    </xf>
    <xf numFmtId="0" fontId="8" fillId="0" borderId="11" applyAlignment="1" pivotButton="0" quotePrefix="0" xfId="0">
      <alignment horizontal="center" vertical="center" wrapText="1"/>
    </xf>
    <xf numFmtId="164" fontId="8" fillId="3" borderId="18" applyAlignment="1" pivotButton="0" quotePrefix="0" xfId="1">
      <alignment horizontal="center" vertical="center"/>
    </xf>
    <xf numFmtId="164" fontId="8" fillId="3" borderId="34" applyAlignment="1" pivotButton="0" quotePrefix="0" xfId="1">
      <alignment horizontal="center" vertical="center"/>
    </xf>
    <xf numFmtId="0" fontId="0" fillId="0" borderId="24" pivotButton="0" quotePrefix="0" xfId="0"/>
    <xf numFmtId="0" fontId="21" fillId="6" borderId="11" applyAlignment="1" pivotButton="0" quotePrefix="0" xfId="0">
      <alignment horizontal="center" vertical="center"/>
    </xf>
    <xf numFmtId="164" fontId="21" fillId="6" borderId="34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 vertical="center"/>
    </xf>
    <xf numFmtId="164" fontId="8" fillId="6" borderId="34" applyAlignment="1" pivotButton="0" quotePrefix="0" xfId="0">
      <alignment horizontal="center" vertical="center"/>
    </xf>
    <xf numFmtId="167" fontId="8" fillId="6" borderId="34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4" fontId="9" fillId="0" borderId="38" applyAlignment="1" pivotButton="0" quotePrefix="0" xfId="1">
      <alignment horizontal="center" vertical="center"/>
    </xf>
    <xf numFmtId="0" fontId="0" fillId="0" borderId="28" pivotButton="0" quotePrefix="0" xfId="0"/>
    <xf numFmtId="164" fontId="8" fillId="6" borderId="4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7" borderId="39" applyAlignment="1" pivotButton="0" quotePrefix="0" xfId="0">
      <alignment horizontal="center" vertical="center"/>
    </xf>
    <xf numFmtId="0" fontId="9" fillId="0" borderId="41" applyAlignment="1" pivotButton="0" quotePrefix="0" xfId="0">
      <alignment vertical="center"/>
    </xf>
    <xf numFmtId="0" fontId="0" fillId="0" borderId="23" pivotButton="0" quotePrefix="0" xfId="0"/>
    <xf numFmtId="166" fontId="8" fillId="6" borderId="31" applyAlignment="1" pivotButton="0" quotePrefix="0" xfId="0">
      <alignment horizontal="center" vertical="center" wrapText="1"/>
    </xf>
  </cellXfs>
  <cellStyles count="8">
    <cellStyle name="표준" xfId="0" builtinId="0"/>
    <cellStyle name="쉼표 [0]" xfId="1" builtinId="6"/>
    <cellStyle name="표준 81" xfId="2"/>
    <cellStyle name="표준 80" xfId="3"/>
    <cellStyle name="쉼표 [0] 4 3 3 4" xfId="4"/>
    <cellStyle name="백분율" xfId="5" builtinId="5"/>
    <cellStyle name="쉼표 [0] 2" xfId="6"/>
    <cellStyle name="쉼표 [0] 4 3 3 4 2" xfId="7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866775</colOff>
      <row>26</row>
      <rowOff>57150</rowOff>
    </from>
    <to>
      <col>6</col>
      <colOff>676275</colOff>
      <row>33</row>
      <rowOff>57150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81625" y="9201150"/>
          <a:ext cx="2428875" cy="1466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114301</colOff>
      <row>3</row>
      <rowOff>66675</rowOff>
    </from>
    <to>
      <col>1</col>
      <colOff>657225</colOff>
      <row>4</row>
      <rowOff>285751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1" y="581025"/>
          <a:ext cx="1304924" cy="5619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895350</colOff>
      <row>36</row>
      <rowOff>47625</rowOff>
    </from>
    <to>
      <col>6</col>
      <colOff>704850</colOff>
      <row>43</row>
      <rowOff>47625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410200" y="8001000"/>
          <a:ext cx="2428875" cy="1466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114301</colOff>
      <row>3</row>
      <rowOff>66675</rowOff>
    </from>
    <to>
      <col>1</col>
      <colOff>657225</colOff>
      <row>4</row>
      <rowOff>285751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1" y="581025"/>
          <a:ext cx="1304924" cy="5619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114301</colOff>
      <row>3</row>
      <rowOff>66675</rowOff>
    </from>
    <to>
      <col>1</col>
      <colOff>657225</colOff>
      <row>4</row>
      <rowOff>285751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1" y="581025"/>
          <a:ext cx="1304924" cy="5619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</col>
      <colOff>838200</colOff>
      <row>35</row>
      <rowOff>142875</rowOff>
    </from>
    <to>
      <col>6</col>
      <colOff>647700</colOff>
      <row>42</row>
      <rowOff>142875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53050" y="9324975"/>
          <a:ext cx="2428875" cy="1466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3</col>
      <colOff>876300</colOff>
      <row>36</row>
      <rowOff>57150</rowOff>
    </from>
    <to>
      <col>6</col>
      <colOff>685800</colOff>
      <row>43</row>
      <rowOff>57150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91150" y="8505825"/>
          <a:ext cx="2428875" cy="1466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114301</colOff>
      <row>3</row>
      <rowOff>66675</rowOff>
    </from>
    <to>
      <col>1</col>
      <colOff>657225</colOff>
      <row>4</row>
      <rowOff>285751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1" y="581025"/>
          <a:ext cx="1304924" cy="5619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3</col>
      <colOff>866775</colOff>
      <row>45</row>
      <rowOff>76200</rowOff>
    </from>
    <to>
      <col>6</col>
      <colOff>676275</colOff>
      <row>52</row>
      <rowOff>76200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81625" y="10620375"/>
          <a:ext cx="2428875" cy="1466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114301</colOff>
      <row>3</row>
      <rowOff>66675</rowOff>
    </from>
    <to>
      <col>1</col>
      <colOff>657225</colOff>
      <row>4</row>
      <rowOff>285751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1" y="581025"/>
          <a:ext cx="1304924" cy="5619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3</col>
      <colOff>876300</colOff>
      <row>34</row>
      <rowOff>85725</rowOff>
    </from>
    <to>
      <col>6</col>
      <colOff>685800</colOff>
      <row>41</row>
      <rowOff>85725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91150" y="7048500"/>
          <a:ext cx="2428875" cy="1466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114301</colOff>
      <row>3</row>
      <rowOff>66675</rowOff>
    </from>
    <to>
      <col>1</col>
      <colOff>657225</colOff>
      <row>4</row>
      <rowOff>285751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1" y="581025"/>
          <a:ext cx="1304924" cy="5619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3</col>
      <colOff>895350</colOff>
      <row>35</row>
      <rowOff>28575</rowOff>
    </from>
    <to>
      <col>6</col>
      <colOff>704850</colOff>
      <row>42</row>
      <rowOff>28575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410200" y="8972550"/>
          <a:ext cx="2428875" cy="1466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114301</colOff>
      <row>3</row>
      <rowOff>66675</rowOff>
    </from>
    <to>
      <col>1</col>
      <colOff>657225</colOff>
      <row>4</row>
      <rowOff>285751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1" y="581025"/>
          <a:ext cx="1304924" cy="5619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3</col>
      <colOff>904875</colOff>
      <row>27</row>
      <rowOff>9525</rowOff>
    </from>
    <to>
      <col>6</col>
      <colOff>714375</colOff>
      <row>34</row>
      <rowOff>9525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419725" y="6972300"/>
          <a:ext cx="2428875" cy="1466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114301</colOff>
      <row>3</row>
      <rowOff>66675</rowOff>
    </from>
    <to>
      <col>1</col>
      <colOff>657225</colOff>
      <row>4</row>
      <rowOff>285751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1" y="581025"/>
          <a:ext cx="1304924" cy="5619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3</col>
      <colOff>876300</colOff>
      <row>36</row>
      <rowOff>85725</rowOff>
    </from>
    <to>
      <col>6</col>
      <colOff>685800</colOff>
      <row>43</row>
      <rowOff>85725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91150" y="9277350"/>
          <a:ext cx="2428875" cy="1466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114301</colOff>
      <row>3</row>
      <rowOff>66675</rowOff>
    </from>
    <to>
      <col>1</col>
      <colOff>657225</colOff>
      <row>4</row>
      <rowOff>285751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301" y="581025"/>
          <a:ext cx="1304924" cy="5619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tabColor rgb="FFFFE593"/>
    <outlinePr summaryBelow="1" summaryRight="1"/>
    <pageSetUpPr/>
  </sheetPr>
  <dimension ref="A1:L56"/>
  <sheetViews>
    <sheetView tabSelected="1" view="pageBreakPreview" zoomScaleNormal="100" zoomScaleSheetLayoutView="100" workbookViewId="0">
      <selection activeCell="I22" sqref="I22"/>
    </sheetView>
  </sheetViews>
  <sheetFormatPr baseColWidth="8" defaultColWidth="8.88671875" defaultRowHeight="13.5"/>
  <cols>
    <col width="8.88671875" customWidth="1" style="48" min="1" max="1"/>
    <col width="29.21875" customWidth="1" style="48" min="2" max="2"/>
    <col width="14.5546875" customWidth="1" style="48" min="3" max="3"/>
    <col width="11.6640625" customWidth="1" style="48" min="4" max="4"/>
    <col width="10.77734375" customWidth="1" style="48" min="5" max="5"/>
    <col width="8.109375" customWidth="1" style="48" min="6" max="6"/>
    <col width="10.5546875" customWidth="1" style="48" min="7" max="7"/>
    <col width="5.6640625" customWidth="1" style="48" min="8" max="8"/>
    <col width="21.6640625" bestFit="1" customWidth="1" style="48" min="9" max="9"/>
    <col width="19.44140625" bestFit="1" customWidth="1" style="48" min="10" max="10"/>
    <col width="20" bestFit="1" customWidth="1" style="48" min="11" max="11"/>
    <col width="19.44140625" bestFit="1" customWidth="1" style="48" min="12" max="12"/>
    <col width="8.88671875" customWidth="1" style="48" min="13" max="16384"/>
  </cols>
  <sheetData>
    <row r="1" ht="13.5" customHeight="1" s="155">
      <c r="A1" s="156" t="inlineStr">
        <is>
          <t>코리아 IT아카데미 교육과정 수강료 안내</t>
        </is>
      </c>
      <c r="B1" s="157" t="n"/>
      <c r="C1" s="157" t="n"/>
      <c r="D1" s="157" t="n"/>
      <c r="E1" s="157" t="n"/>
      <c r="F1" s="157" t="n"/>
      <c r="G1" s="158" t="n"/>
    </row>
    <row r="2" ht="13.5" customHeight="1" s="155">
      <c r="A2" s="159" t="n"/>
      <c r="G2" s="160" t="n"/>
    </row>
    <row r="3" ht="13.5" customHeight="1" s="155">
      <c r="A3" s="159" t="n"/>
      <c r="G3" s="160" t="n"/>
    </row>
    <row r="4" ht="27" customHeight="1" s="155">
      <c r="A4" s="79" t="n"/>
      <c r="B4" s="80" t="n"/>
      <c r="C4" s="76" t="n"/>
      <c r="D4" s="72" t="n"/>
      <c r="E4" s="73" t="n"/>
      <c r="F4" s="104" t="n"/>
      <c r="G4" s="160" t="n"/>
    </row>
    <row r="5" ht="27" customHeight="1" s="155">
      <c r="A5" s="79" t="n"/>
      <c r="B5" s="80" t="n"/>
      <c r="C5" s="82" t="inlineStr">
        <is>
          <t xml:space="preserve">상 담 일 자 : </t>
        </is>
      </c>
      <c r="D5" s="83">
        <f>TODAY()</f>
        <v/>
      </c>
      <c r="E5" s="84" t="inlineStr">
        <is>
          <t xml:space="preserve">상 담 자 : </t>
        </is>
      </c>
      <c r="F5" s="75" t="inlineStr">
        <is>
          <t>송성기 교육멘토</t>
        </is>
      </c>
      <c r="G5" s="78" t="n"/>
    </row>
    <row r="6" ht="19.5" customHeight="1" s="155">
      <c r="A6" s="74" t="inlineStr">
        <is>
          <t xml:space="preserve">■  과정 및 수강료                              </t>
        </is>
      </c>
      <c r="B6" s="75" t="n"/>
      <c r="C6" s="76" t="n"/>
      <c r="D6" s="77" t="n"/>
      <c r="E6" s="82" t="inlineStr">
        <is>
          <t xml:space="preserve">연 락 처 : </t>
        </is>
      </c>
      <c r="F6" s="75" t="inlineStr">
        <is>
          <t>042-710-8921</t>
        </is>
      </c>
      <c r="G6" s="81" t="n"/>
    </row>
    <row r="7" ht="19.5" customHeight="1" s="155">
      <c r="A7" s="50" t="inlineStr">
        <is>
          <t>과 정</t>
        </is>
      </c>
      <c r="B7" s="47" t="inlineStr">
        <is>
          <t>과목명</t>
        </is>
      </c>
      <c r="C7" s="161" t="n"/>
      <c r="D7" s="47" t="inlineStr">
        <is>
          <t>COURSE</t>
        </is>
      </c>
      <c r="E7" s="47" t="inlineStr">
        <is>
          <t>DAY</t>
        </is>
      </c>
      <c r="F7" s="162" t="inlineStr">
        <is>
          <t>수강료</t>
        </is>
      </c>
      <c r="G7" s="163" t="n"/>
      <c r="I7" s="164" t="n"/>
      <c r="J7" s="165" t="n"/>
      <c r="K7" s="51" t="n"/>
      <c r="L7" s="51" t="n"/>
    </row>
    <row r="8" ht="19.5" customHeight="1" s="155">
      <c r="A8" s="108" t="n"/>
      <c r="B8" s="166" t="inlineStr">
        <is>
          <t>정보처리실기1/주말</t>
        </is>
      </c>
      <c r="C8" s="161" t="n"/>
      <c r="D8" s="167" t="n">
        <v>1</v>
      </c>
      <c r="E8" s="71" t="inlineStr">
        <is>
          <t>평일 / 주말</t>
        </is>
      </c>
      <c r="F8" s="168" t="n">
        <v>500000</v>
      </c>
      <c r="G8" s="163" t="n"/>
      <c r="I8" s="164" t="n"/>
      <c r="J8" s="165" t="n"/>
      <c r="K8" s="51" t="n"/>
      <c r="L8" s="51" t="n"/>
    </row>
    <row r="9" ht="19.5" customHeight="1" s="155">
      <c r="A9" s="169" t="n"/>
      <c r="B9" s="166" t="inlineStr">
        <is>
          <t>정보처리실기2/주말</t>
        </is>
      </c>
      <c r="C9" s="161" t="n"/>
      <c r="D9" s="167" t="n">
        <v>1</v>
      </c>
      <c r="E9" s="71" t="inlineStr">
        <is>
          <t>평일 / 주말</t>
        </is>
      </c>
      <c r="F9" s="168" t="n">
        <v>500000</v>
      </c>
      <c r="G9" s="163" t="n"/>
      <c r="I9" s="48" t="n"/>
      <c r="J9" s="48" t="n"/>
      <c r="K9" s="48" t="n"/>
      <c r="L9" s="48" t="n"/>
    </row>
    <row r="10" ht="33.6" customHeight="1" s="155"/>
    <row r="11" ht="19.5" customHeight="1" s="155"/>
    <row r="12" ht="19.5" customHeight="1" s="155"/>
    <row r="13" ht="19.5" customHeight="1" s="155"/>
    <row r="14" ht="19.5" customHeight="1" s="155"/>
    <row r="15" ht="19.5" customHeight="1" s="155"/>
    <row r="16" ht="19.5" customHeight="1" s="155"/>
    <row r="17" ht="23.25" customHeight="1" s="155"/>
    <row r="18" ht="23.25" customFormat="1" customHeight="1" s="48"/>
    <row r="19" ht="23.25" customFormat="1" customHeight="1" s="48"/>
    <row r="20" ht="23.25" customFormat="1" customHeight="1" s="48"/>
    <row r="21" ht="23.25" customFormat="1" customHeight="1" s="48"/>
    <row r="22" ht="16.5" customHeight="1" s="155"/>
    <row r="23" ht="16.5" customHeight="1" s="155"/>
    <row r="24" ht="16.5" customHeight="1" s="155"/>
    <row r="25" ht="16.5" customHeight="1" s="155"/>
    <row r="26" ht="16.5" customHeight="1" s="155"/>
    <row r="27" ht="16.5" customHeight="1" s="155"/>
    <row r="28" ht="16.5" customHeight="1" s="155"/>
    <row r="29" ht="16.5" customHeight="1" s="155"/>
    <row r="30" ht="16.5" customHeight="1" s="155"/>
    <row r="31" ht="16.5" customHeight="1" s="155">
      <c r="A31" s="93" t="inlineStr">
        <is>
          <t>따즈아</t>
        </is>
      </c>
      <c r="B31" s="94" t="inlineStr">
        <is>
          <t>온라인강의</t>
        </is>
      </c>
      <c r="C31" s="95" t="n">
        <v>0</v>
      </c>
      <c r="D31" s="170">
        <f>SUM(D8:D30)</f>
        <v/>
      </c>
      <c r="E31" s="87" t="inlineStr">
        <is>
          <t>원수강료</t>
        </is>
      </c>
      <c r="F31" s="171">
        <f>SUM(F8:F30)</f>
        <v/>
      </c>
      <c r="G31" s="172" t="n"/>
      <c r="I31" s="48" t="n"/>
      <c r="J31" s="48" t="n"/>
      <c r="K31" s="48" t="n"/>
      <c r="L31" s="48" t="n"/>
    </row>
    <row r="32" ht="16.5" customHeight="1" s="155">
      <c r="A32" s="49" t="inlineStr">
        <is>
          <t>■ 교육과정 할인내역</t>
        </is>
      </c>
      <c r="B32" s="90" t="n"/>
      <c r="C32" s="91" t="n"/>
      <c r="D32" s="56" t="n"/>
      <c r="E32" s="56" t="n"/>
      <c r="F32" s="173" t="n"/>
      <c r="G32" s="160" t="n"/>
      <c r="I32" s="48" t="n"/>
      <c r="J32" s="48" t="n"/>
      <c r="K32" s="48" t="n"/>
      <c r="L32" s="48" t="n"/>
    </row>
    <row r="33" ht="16.5" customHeight="1" s="155">
      <c r="A33" s="50" t="inlineStr">
        <is>
          <t>세부할인 내역</t>
        </is>
      </c>
      <c r="B33" s="174" t="n"/>
      <c r="C33" s="161" t="n"/>
      <c r="D33" s="47" t="inlineStr">
        <is>
          <t>할인율(%)</t>
        </is>
      </c>
      <c r="E33" s="175" t="inlineStr">
        <is>
          <t>할인금액</t>
        </is>
      </c>
      <c r="F33" s="174" t="n"/>
      <c r="G33" s="163" t="n"/>
    </row>
    <row r="34">
      <c r="A34" s="176" t="inlineStr">
        <is>
          <t>할인
내역</t>
        </is>
      </c>
      <c r="B34" s="138" t="inlineStr">
        <is>
          <t>겨울방학 할인</t>
        </is>
      </c>
      <c r="C34" s="174" t="n"/>
      <c r="D34" s="85" t="n">
        <v>0.15</v>
      </c>
      <c r="E34" s="177">
        <f>F31*D34</f>
        <v/>
      </c>
      <c r="F34" s="174" t="n"/>
      <c r="G34" s="163" t="n"/>
    </row>
    <row r="35" ht="14.25" customHeight="1" s="155" thickBot="1">
      <c r="A35" s="169" t="n"/>
      <c r="B35" s="138" t="inlineStr">
        <is>
          <t>멘토직권 할인</t>
        </is>
      </c>
      <c r="C35" s="174" t="n"/>
      <c r="D35" s="53" t="n">
        <v>0.1</v>
      </c>
      <c r="E35" s="178">
        <f>(F31*(1-D34)*D35)</f>
        <v/>
      </c>
      <c r="F35" s="174" t="n"/>
      <c r="G35" s="163" t="n"/>
    </row>
    <row r="36">
      <c r="A36" s="179" t="n"/>
      <c r="B36" s="138" t="inlineStr">
        <is>
          <t>잔여석 지원 할인</t>
        </is>
      </c>
      <c r="C36" s="174" t="n"/>
      <c r="D36" s="45" t="n">
        <v>0.15</v>
      </c>
      <c r="E36" s="177">
        <f>(F31*(1-D34)*(1-D35)*D36)</f>
        <v/>
      </c>
      <c r="F36" s="174" t="n"/>
      <c r="G36" s="163" t="n"/>
      <c r="H36" s="48" t="n"/>
      <c r="I36" s="164" t="n"/>
      <c r="J36" s="165" t="n"/>
      <c r="K36" s="51" t="n"/>
      <c r="L36" s="51" t="n"/>
    </row>
    <row r="37">
      <c r="A37" s="180" t="inlineStr">
        <is>
          <t xml:space="preserve">총 할인금액 (수강지원)  </t>
        </is>
      </c>
      <c r="B37" s="174" t="n"/>
      <c r="C37" s="161" t="n"/>
      <c r="D37" s="181">
        <f>ROUNDUP(SUM(E34:G36),-3)</f>
        <v/>
      </c>
      <c r="E37" s="174" t="n"/>
      <c r="F37" s="174" t="n"/>
      <c r="G37" s="163" t="n"/>
      <c r="H37" s="48" t="n"/>
      <c r="I37" s="164" t="n"/>
      <c r="J37" s="165" t="n"/>
      <c r="K37" s="51" t="n"/>
      <c r="L37" s="51" t="n"/>
    </row>
    <row r="38">
      <c r="A38" s="182" t="inlineStr">
        <is>
          <t xml:space="preserve">납부 해야할 수강료 (할인적용)  </t>
        </is>
      </c>
      <c r="B38" s="174" t="n"/>
      <c r="C38" s="161" t="n"/>
      <c r="D38" s="183">
        <f>F31-D37</f>
        <v/>
      </c>
      <c r="E38" s="174" t="n"/>
      <c r="F38" s="174" t="n"/>
      <c r="G38" s="163" t="n"/>
      <c r="H38" s="48" t="n"/>
      <c r="I38" s="48" t="n"/>
      <c r="J38" s="48" t="n"/>
      <c r="K38" s="48" t="n"/>
      <c r="L38" s="48" t="n"/>
    </row>
    <row r="39">
      <c r="A39" s="182" t="inlineStr">
        <is>
          <t>총 등록금액</t>
        </is>
      </c>
      <c r="B39" s="174" t="n"/>
      <c r="C39" s="161" t="n"/>
      <c r="D39" s="183">
        <f>SUM(D38+C31)</f>
        <v/>
      </c>
      <c r="E39" s="174" t="n"/>
      <c r="F39" s="174" t="n"/>
      <c r="G39" s="163" t="n"/>
      <c r="H39" s="48" t="n"/>
    </row>
    <row r="40">
      <c r="A40" s="182" t="inlineStr">
        <is>
          <t>3개월 할부 진행시</t>
        </is>
      </c>
      <c r="B40" s="174" t="n"/>
      <c r="C40" s="161" t="n"/>
      <c r="D40" s="184">
        <f>SUM(D39/3)</f>
        <v/>
      </c>
      <c r="E40" s="174" t="n"/>
      <c r="F40" s="174" t="n"/>
      <c r="G40" s="163" t="n"/>
      <c r="H40" s="48" t="n"/>
    </row>
    <row r="41">
      <c r="A41" s="182" t="inlineStr">
        <is>
          <t>6개월 할부 진행시</t>
        </is>
      </c>
      <c r="B41" s="174" t="n"/>
      <c r="C41" s="161" t="n"/>
      <c r="D41" s="184">
        <f>SUM(D39/6)</f>
        <v/>
      </c>
      <c r="E41" s="174" t="n"/>
      <c r="F41" s="174" t="n"/>
      <c r="G41" s="163" t="n"/>
      <c r="H41" s="48" t="n"/>
    </row>
    <row r="42">
      <c r="A42" s="182" t="inlineStr">
        <is>
          <t>1과목당 수강료</t>
        </is>
      </c>
      <c r="B42" s="174" t="n"/>
      <c r="C42" s="161" t="n"/>
      <c r="D42" s="184">
        <f>SUM(D38/D31)</f>
        <v/>
      </c>
      <c r="E42" s="174" t="n"/>
      <c r="F42" s="174" t="n"/>
      <c r="G42" s="163" t="n"/>
      <c r="H42" s="48" t="n"/>
    </row>
    <row r="43">
      <c r="A43" s="55" t="n"/>
      <c r="B43" s="119" t="n"/>
      <c r="G43" s="54" t="n"/>
      <c r="I43" s="52" t="n"/>
      <c r="J43" s="48" t="n"/>
      <c r="K43" s="48" t="n"/>
      <c r="L43" s="48" t="n"/>
    </row>
    <row r="44">
      <c r="A44" s="64" t="inlineStr">
        <is>
          <t>■ 안내사항</t>
        </is>
      </c>
      <c r="B44" s="119" t="n"/>
      <c r="C44" s="119" t="n"/>
      <c r="D44" s="119" t="n"/>
      <c r="E44" s="119" t="n"/>
      <c r="F44" s="119" t="n"/>
      <c r="G44" s="54" t="n"/>
      <c r="I44" s="52" t="n"/>
      <c r="J44" s="48" t="n"/>
      <c r="K44" s="48" t="n"/>
      <c r="L44" s="48" t="n"/>
    </row>
    <row r="45">
      <c r="A45" s="55" t="inlineStr">
        <is>
          <t xml:space="preserve">   1) 위 수강료는 학원내 게시되어 있는 수강료 기준이며, 교육청에 신고된 금액입니다.</t>
        </is>
      </c>
      <c r="B45" s="119" t="n"/>
      <c r="C45" s="119" t="n"/>
      <c r="D45" s="119" t="n"/>
      <c r="E45" s="119" t="n"/>
      <c r="F45" s="119" t="n"/>
      <c r="G45" s="54" t="n"/>
      <c r="I45" s="48" t="n"/>
      <c r="J45" s="48" t="n"/>
      <c r="K45" s="48" t="n"/>
      <c r="L45" s="48" t="n"/>
    </row>
    <row r="46">
      <c r="A46" s="55" t="inlineStr">
        <is>
          <t xml:space="preserve">   2) 위 할인내역은 해당사항에 한해 적용되며, 할인내용에 해당될 시 증명서류를 증빙해야 할인 받을 수 있습니다.</t>
        </is>
      </c>
      <c r="B46" s="119" t="n"/>
      <c r="C46" s="119" t="n"/>
      <c r="D46" s="119" t="n"/>
      <c r="E46" s="119" t="n"/>
      <c r="F46" s="119" t="n"/>
      <c r="G46" s="54" t="n"/>
      <c r="I46" s="48" t="n"/>
      <c r="J46" s="48" t="n"/>
      <c r="K46" s="48" t="n"/>
      <c r="L46" s="48" t="n"/>
    </row>
    <row r="47">
      <c r="A47" s="55" t="inlineStr">
        <is>
          <t xml:space="preserve">   3) 할인금액은 수강과목지원(무료)으로 진행됩니다.</t>
        </is>
      </c>
      <c r="B47" s="56" t="n"/>
      <c r="C47" s="56" t="n"/>
      <c r="D47" s="57" t="n"/>
      <c r="E47" s="57" t="n"/>
      <c r="F47" s="58" t="n"/>
      <c r="G47" s="59" t="n"/>
    </row>
    <row r="48">
      <c r="A48" s="55" t="n"/>
      <c r="B48" s="56" t="n"/>
      <c r="C48" s="56" t="n"/>
      <c r="D48" s="57" t="n"/>
      <c r="E48" s="57" t="n"/>
      <c r="F48" s="58" t="n"/>
      <c r="G48" s="59" t="n"/>
    </row>
    <row r="49">
      <c r="A49" s="64" t="inlineStr">
        <is>
          <t>■ 수강료 납부 안내</t>
        </is>
      </c>
      <c r="B49" s="60" t="n"/>
      <c r="C49" s="60" t="n"/>
      <c r="D49" s="61" t="n"/>
      <c r="E49" s="61" t="n"/>
      <c r="F49" s="61" t="n"/>
      <c r="G49" s="62" t="n"/>
    </row>
    <row r="50">
      <c r="A50" s="55" t="inlineStr">
        <is>
          <t xml:space="preserve">    1) 현금수납 - 학원 안내접수처에서 접수 및 결제(현금영수증 발행)</t>
        </is>
      </c>
      <c r="B50" s="63" t="n"/>
      <c r="C50" s="63" t="n"/>
      <c r="D50" s="61" t="n"/>
      <c r="E50" s="61" t="n"/>
      <c r="F50" s="61" t="n"/>
      <c r="G50" s="62" t="n"/>
    </row>
    <row r="51">
      <c r="A51" s="55" t="inlineStr">
        <is>
          <t xml:space="preserve">    2) 온라인입금(계좌이체) 결제(현금영수증 발행)</t>
        </is>
      </c>
      <c r="B51" s="63" t="n"/>
      <c r="C51" s="63" t="n"/>
      <c r="D51" s="61" t="n"/>
      <c r="E51" s="61" t="n"/>
      <c r="F51" s="61" t="n"/>
      <c r="G51" s="62" t="n"/>
    </row>
    <row r="52">
      <c r="A52" s="64" t="n"/>
      <c r="B52" s="65" t="n"/>
      <c r="C52" s="65" t="n"/>
      <c r="D52" s="61" t="n"/>
      <c r="E52" s="61" t="n"/>
      <c r="F52" s="61" t="n"/>
      <c r="G52" s="62" t="n"/>
    </row>
    <row r="53">
      <c r="A53" s="55" t="inlineStr">
        <is>
          <t xml:space="preserve">    3) 카드수납 - 학원 안내접수처에서 접수 및 결제 or 카드번호 결제(키인결제)</t>
        </is>
      </c>
      <c r="B53" s="66" t="n"/>
      <c r="C53" s="66" t="n"/>
      <c r="D53" s="61" t="n"/>
      <c r="E53" s="61" t="n"/>
      <c r="F53" s="61" t="n"/>
      <c r="G53" s="62" t="n"/>
    </row>
    <row r="54">
      <c r="A54" s="55" t="inlineStr">
        <is>
          <t xml:space="preserve">                     - 학원 홈페이지(모바일, PC) 결제 &gt; 담당멘토 문의</t>
        </is>
      </c>
      <c r="B54" s="66" t="n"/>
      <c r="C54" s="66" t="n"/>
      <c r="D54" s="61" t="n"/>
      <c r="E54" s="61" t="n"/>
      <c r="F54" s="61" t="n"/>
      <c r="G54" s="62" t="n"/>
    </row>
    <row r="55">
      <c r="A55" s="55" t="inlineStr">
        <is>
          <t xml:space="preserve">      * 카드사별 무이자 할부 혜택 상이함</t>
        </is>
      </c>
      <c r="B55" s="67" t="n"/>
      <c r="C55" s="67" t="n"/>
      <c r="D55" s="61" t="n"/>
      <c r="E55" s="61" t="n"/>
      <c r="F55" s="61" t="n"/>
      <c r="G55" s="62" t="n"/>
    </row>
    <row r="56">
      <c r="A56" s="68" t="n"/>
      <c r="B56" s="69" t="n"/>
      <c r="C56" s="69" t="n"/>
      <c r="D56" s="69" t="n"/>
      <c r="E56" s="69" t="n"/>
      <c r="F56" s="69" t="n"/>
      <c r="G56" s="70" t="n"/>
    </row>
  </sheetData>
  <mergeCells count="33">
    <mergeCell ref="F4:G4"/>
    <mergeCell ref="A41:C41"/>
    <mergeCell ref="B7:C7"/>
    <mergeCell ref="A37:C37"/>
    <mergeCell ref="D39:G39"/>
    <mergeCell ref="E34:G34"/>
    <mergeCell ref="D42:G42"/>
    <mergeCell ref="D38:G38"/>
    <mergeCell ref="F7:G7"/>
    <mergeCell ref="A42:C42"/>
    <mergeCell ref="B43:F43"/>
    <mergeCell ref="A33:C33"/>
    <mergeCell ref="E36:G36"/>
    <mergeCell ref="A34:A36"/>
    <mergeCell ref="F32:G32"/>
    <mergeCell ref="B8:C8"/>
    <mergeCell ref="A38:C38"/>
    <mergeCell ref="F8:G8"/>
    <mergeCell ref="D40:G40"/>
    <mergeCell ref="A1:G3"/>
    <mergeCell ref="A8:A9"/>
    <mergeCell ref="B34:C34"/>
    <mergeCell ref="A40:C40"/>
    <mergeCell ref="F31:G31"/>
    <mergeCell ref="A39:C39"/>
    <mergeCell ref="B9:C9"/>
    <mergeCell ref="F9:G9"/>
    <mergeCell ref="D41:G41"/>
    <mergeCell ref="E33:G33"/>
    <mergeCell ref="B36:C36"/>
    <mergeCell ref="E35:G35"/>
    <mergeCell ref="D37:G37"/>
    <mergeCell ref="B35:C35"/>
  </mergeCells>
  <pageMargins left="0.7" right="0.7" top="0.75" bottom="0.75" header="0.3" footer="0.3"/>
  <pageSetup orientation="portrait" paperSize="9" scale="8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8" tint="0.7999816888943144"/>
    <outlinePr summaryBelow="1" summaryRight="1"/>
    <pageSetUpPr/>
  </sheetPr>
  <dimension ref="A1:L45"/>
  <sheetViews>
    <sheetView view="pageBreakPreview" zoomScaleNormal="100" zoomScaleSheetLayoutView="100" workbookViewId="0">
      <selection activeCell="B18" sqref="B18:C18"/>
    </sheetView>
  </sheetViews>
  <sheetFormatPr baseColWidth="8" defaultColWidth="8.88671875" defaultRowHeight="13.5"/>
  <cols>
    <col width="8.88671875" customWidth="1" style="48" min="1" max="1"/>
    <col width="29.21875" customWidth="1" style="48" min="2" max="2"/>
    <col width="14.5546875" customWidth="1" style="48" min="3" max="3"/>
    <col width="11.6640625" bestFit="1" customWidth="1" style="48" min="4" max="4"/>
    <col width="10.77734375" customWidth="1" style="48" min="5" max="5"/>
    <col width="8.109375" customWidth="1" style="48" min="6" max="6"/>
    <col width="10.5546875" customWidth="1" style="48" min="7" max="7"/>
    <col width="5.6640625" customWidth="1" style="48" min="8" max="8"/>
    <col width="21.6640625" bestFit="1" customWidth="1" style="48" min="9" max="9"/>
    <col width="19.44140625" bestFit="1" customWidth="1" style="48" min="10" max="10"/>
    <col width="20" bestFit="1" customWidth="1" style="48" min="11" max="11"/>
    <col width="19.44140625" bestFit="1" customWidth="1" style="48" min="12" max="12"/>
    <col width="8.88671875" customWidth="1" style="48" min="13" max="16384"/>
  </cols>
  <sheetData>
    <row r="1" ht="13.5" customHeight="1" s="155">
      <c r="A1" s="156" t="inlineStr">
        <is>
          <t>코리아 IT아카데미 교육과정 수강료 안내</t>
        </is>
      </c>
      <c r="B1" s="157" t="n"/>
      <c r="C1" s="157" t="n"/>
      <c r="D1" s="157" t="n"/>
      <c r="E1" s="157" t="n"/>
      <c r="F1" s="157" t="n"/>
      <c r="G1" s="158" t="n"/>
    </row>
    <row r="2" ht="13.5" customHeight="1" s="155">
      <c r="A2" s="159" t="n"/>
      <c r="G2" s="160" t="n"/>
    </row>
    <row r="3" ht="13.5" customHeight="1" s="155">
      <c r="A3" s="159" t="n"/>
      <c r="G3" s="160" t="n"/>
    </row>
    <row r="4" ht="27" customHeight="1" s="155">
      <c r="A4" s="79" t="n"/>
      <c r="B4" s="80" t="n"/>
      <c r="C4" s="76" t="n"/>
      <c r="D4" s="72" t="n"/>
      <c r="E4" s="73" t="n"/>
      <c r="F4" s="104" t="n"/>
      <c r="G4" s="160" t="n"/>
    </row>
    <row r="5" ht="27" customHeight="1" s="155">
      <c r="A5" s="79" t="n"/>
      <c r="B5" s="80" t="n"/>
      <c r="C5" s="82" t="inlineStr">
        <is>
          <t xml:space="preserve">상 담 일 자 : </t>
        </is>
      </c>
      <c r="D5" s="83">
        <f>TODAY()</f>
        <v/>
      </c>
      <c r="E5" s="84" t="inlineStr">
        <is>
          <t xml:space="preserve">상 담 자 : </t>
        </is>
      </c>
      <c r="F5" s="75" t="inlineStr">
        <is>
          <t>김동우 교육멘토</t>
        </is>
      </c>
      <c r="G5" s="78" t="n"/>
    </row>
    <row r="6" ht="19.5" customHeight="1" s="155">
      <c r="A6" s="74" t="inlineStr">
        <is>
          <t xml:space="preserve">■  과정 및 수강료                              </t>
        </is>
      </c>
      <c r="B6" s="75" t="n"/>
      <c r="C6" s="76" t="n"/>
      <c r="D6" s="77" t="n"/>
      <c r="E6" s="82" t="inlineStr">
        <is>
          <t xml:space="preserve">연 락 처 : </t>
        </is>
      </c>
      <c r="F6" s="75" t="inlineStr">
        <is>
          <t>042-369-5815</t>
        </is>
      </c>
      <c r="G6" s="81" t="n"/>
    </row>
    <row r="7" ht="19.5" customHeight="1" s="155">
      <c r="A7" s="50" t="inlineStr">
        <is>
          <t>과 정</t>
        </is>
      </c>
      <c r="B7" s="47" t="inlineStr">
        <is>
          <t>과목명</t>
        </is>
      </c>
      <c r="C7" s="161" t="n"/>
      <c r="D7" s="47" t="inlineStr">
        <is>
          <t>COURSE</t>
        </is>
      </c>
      <c r="E7" s="47" t="inlineStr">
        <is>
          <t>DAY</t>
        </is>
      </c>
      <c r="F7" s="162" t="inlineStr">
        <is>
          <t>수강료</t>
        </is>
      </c>
      <c r="G7" s="163" t="n"/>
      <c r="I7" s="164" t="n"/>
      <c r="J7" s="165" t="n"/>
      <c r="K7" s="51" t="n"/>
      <c r="L7" s="51" t="n"/>
    </row>
    <row r="8" ht="19.5" customHeight="1" s="155">
      <c r="A8" s="120" t="inlineStr">
        <is>
          <t>Javascript
풀스택
개발자
정규과정</t>
        </is>
      </c>
      <c r="B8" s="166" t="inlineStr">
        <is>
          <t>DBMS (SQL)</t>
        </is>
      </c>
      <c r="C8" s="161" t="n"/>
      <c r="D8" s="167" t="n">
        <v>1</v>
      </c>
      <c r="E8" s="71" t="inlineStr">
        <is>
          <t>평일 / 주말</t>
        </is>
      </c>
      <c r="F8" s="168" t="n">
        <v>500000</v>
      </c>
      <c r="G8" s="163" t="n"/>
      <c r="I8" s="164" t="n"/>
      <c r="J8" s="165" t="n"/>
      <c r="K8" s="51" t="n"/>
      <c r="L8" s="51" t="n"/>
    </row>
    <row r="9" ht="19.5" customHeight="1" s="155">
      <c r="A9" s="169" t="n"/>
      <c r="B9" s="166" t="inlineStr">
        <is>
          <t>SQL-D (자격증)</t>
        </is>
      </c>
      <c r="C9" s="161" t="n"/>
      <c r="D9" s="167" t="n">
        <v>1</v>
      </c>
      <c r="E9" s="71" t="inlineStr">
        <is>
          <t>주말</t>
        </is>
      </c>
      <c r="F9" s="168" t="n">
        <v>500000</v>
      </c>
      <c r="G9" s="163" t="n"/>
      <c r="I9" s="48" t="n"/>
      <c r="J9" s="48" t="n"/>
      <c r="K9" s="48" t="n"/>
      <c r="L9" s="48" t="n"/>
    </row>
    <row r="10" ht="19.5" customHeight="1" s="155">
      <c r="A10" s="169" t="n"/>
      <c r="B10" s="166" t="inlineStr">
        <is>
          <t>리눅스 1</t>
        </is>
      </c>
      <c r="C10" s="161" t="n"/>
      <c r="D10" s="167" t="n">
        <v>1</v>
      </c>
      <c r="E10" s="71" t="inlineStr">
        <is>
          <t>평일 / 주말</t>
        </is>
      </c>
      <c r="F10" s="168" t="n">
        <v>500000</v>
      </c>
      <c r="G10" s="163" t="n"/>
      <c r="I10" s="52" t="n"/>
      <c r="J10" s="48" t="n"/>
      <c r="K10" s="48" t="n"/>
      <c r="L10" s="48" t="n"/>
    </row>
    <row r="11" ht="19.5" customHeight="1" s="155">
      <c r="A11" s="169" t="n"/>
      <c r="B11" s="185" t="inlineStr">
        <is>
          <t>리눅스 2</t>
        </is>
      </c>
      <c r="C11" s="161" t="n"/>
      <c r="D11" s="167" t="n">
        <v>1</v>
      </c>
      <c r="E11" s="71" t="inlineStr">
        <is>
          <t>평일 / 주말</t>
        </is>
      </c>
      <c r="F11" s="168" t="n">
        <v>500000</v>
      </c>
      <c r="G11" s="163" t="n"/>
      <c r="I11" s="52" t="n"/>
      <c r="J11" s="48" t="n"/>
      <c r="K11" s="48" t="n"/>
      <c r="L11" s="48" t="n"/>
    </row>
    <row r="12" ht="19.5" customHeight="1" s="155">
      <c r="A12" s="169" t="n"/>
      <c r="B12" s="185" t="inlineStr">
        <is>
          <t>리눅스마스터 2급 (자격증)</t>
        </is>
      </c>
      <c r="C12" s="161" t="n"/>
      <c r="D12" s="167" t="n">
        <v>1</v>
      </c>
      <c r="E12" s="71" t="inlineStr">
        <is>
          <t>주말</t>
        </is>
      </c>
      <c r="F12" s="168" t="n">
        <v>500000</v>
      </c>
      <c r="G12" s="163" t="n"/>
      <c r="I12" s="48" t="n"/>
      <c r="J12" s="48" t="n"/>
      <c r="K12" s="48" t="n"/>
      <c r="L12" s="48" t="n"/>
    </row>
    <row r="13" ht="19.5" customFormat="1" customHeight="1" s="48">
      <c r="A13" s="169" t="n"/>
      <c r="B13" s="166" t="inlineStr">
        <is>
          <t>Javascript 풀스택 개발 1</t>
        </is>
      </c>
      <c r="C13" s="161" t="n"/>
      <c r="D13" s="167" t="n">
        <v>1</v>
      </c>
      <c r="E13" s="71" t="inlineStr">
        <is>
          <t>평일</t>
        </is>
      </c>
      <c r="F13" s="186" t="n">
        <v>900000</v>
      </c>
      <c r="G13" s="187" t="n"/>
    </row>
    <row r="14" ht="19.5" customFormat="1" customHeight="1" s="48">
      <c r="A14" s="169" t="n"/>
      <c r="B14" s="166" t="inlineStr">
        <is>
          <t>Javascript 풀스택 개발 2</t>
        </is>
      </c>
      <c r="C14" s="161" t="n"/>
      <c r="D14" s="167" t="n">
        <v>1</v>
      </c>
      <c r="E14" s="71" t="inlineStr">
        <is>
          <t>평일</t>
        </is>
      </c>
      <c r="F14" s="186" t="n">
        <v>900000</v>
      </c>
      <c r="G14" s="187" t="n"/>
    </row>
    <row r="15" ht="19.5" customFormat="1" customHeight="1" s="48">
      <c r="A15" s="169" t="n"/>
      <c r="B15" s="166" t="inlineStr">
        <is>
          <t xml:space="preserve">Javascript 풀스택 개발 3 </t>
        </is>
      </c>
      <c r="C15" s="161" t="n"/>
      <c r="D15" s="167" t="n">
        <v>1</v>
      </c>
      <c r="E15" s="71" t="inlineStr">
        <is>
          <t>평일</t>
        </is>
      </c>
      <c r="F15" s="186" t="n">
        <v>900000</v>
      </c>
      <c r="G15" s="187" t="n"/>
    </row>
    <row r="16" ht="19.5" customFormat="1" customHeight="1" s="48">
      <c r="A16" s="169" t="n"/>
      <c r="B16" s="166" t="inlineStr">
        <is>
          <t>Javascript 풀스택 개발 4</t>
        </is>
      </c>
      <c r="C16" s="161" t="n"/>
      <c r="D16" s="167" t="n">
        <v>1</v>
      </c>
      <c r="E16" s="71" t="inlineStr">
        <is>
          <t>평일</t>
        </is>
      </c>
      <c r="F16" s="186" t="n">
        <v>900000</v>
      </c>
      <c r="G16" s="187" t="n"/>
    </row>
    <row r="17" ht="19.5" customFormat="1" customHeight="1" s="48">
      <c r="A17" s="169" t="n"/>
      <c r="B17" s="166" t="inlineStr">
        <is>
          <t>Javascript 풀스택 개발 5</t>
        </is>
      </c>
      <c r="C17" s="161" t="n"/>
      <c r="D17" s="167" t="n">
        <v>1</v>
      </c>
      <c r="E17" s="71" t="inlineStr">
        <is>
          <t>평일</t>
        </is>
      </c>
      <c r="F17" s="186" t="n">
        <v>900000</v>
      </c>
      <c r="G17" s="187" t="n"/>
    </row>
    <row r="18" ht="19.5" customHeight="1" s="155">
      <c r="A18" s="169" t="n"/>
      <c r="B18" s="166" t="inlineStr">
        <is>
          <t>Javascript 풀스택 개발 6 (Project)</t>
        </is>
      </c>
      <c r="C18" s="161" t="n"/>
      <c r="D18" s="167" t="n">
        <v>1</v>
      </c>
      <c r="E18" s="71" t="inlineStr">
        <is>
          <t>평일</t>
        </is>
      </c>
      <c r="F18" s="186" t="n">
        <v>900000</v>
      </c>
      <c r="G18" s="187" t="n"/>
      <c r="I18" s="164" t="n"/>
      <c r="J18" s="165" t="n"/>
      <c r="K18" s="51" t="n"/>
      <c r="L18" s="51" t="n"/>
    </row>
    <row r="19" ht="33.6" customHeight="1" s="155">
      <c r="A19" s="93" t="inlineStr">
        <is>
          <t>따즈아</t>
        </is>
      </c>
      <c r="B19" s="94" t="inlineStr">
        <is>
          <t>온라인강의</t>
        </is>
      </c>
      <c r="C19" s="95" t="n">
        <v>500000</v>
      </c>
      <c r="D19" s="170">
        <f>SUM(D8:D18)</f>
        <v/>
      </c>
      <c r="E19" s="88" t="inlineStr">
        <is>
          <t>원수강료</t>
        </is>
      </c>
      <c r="F19" s="188">
        <f>SUM(F8:G18)</f>
        <v/>
      </c>
      <c r="G19" s="172" t="n"/>
      <c r="I19" s="48" t="n"/>
      <c r="J19" s="48" t="n"/>
      <c r="K19" s="48" t="n"/>
      <c r="L19" s="48" t="n"/>
    </row>
    <row r="20" ht="19.5" customHeight="1" s="155">
      <c r="A20" s="49" t="inlineStr">
        <is>
          <t>■ 교육과정 할인내역</t>
        </is>
      </c>
      <c r="B20" s="90" t="n"/>
      <c r="C20" s="91" t="n"/>
      <c r="D20" s="56" t="n"/>
      <c r="E20" s="56" t="n"/>
      <c r="F20" s="173" t="n"/>
      <c r="G20" s="160" t="n"/>
      <c r="I20" s="48" t="n"/>
      <c r="J20" s="48" t="n"/>
      <c r="K20" s="48" t="n"/>
      <c r="L20" s="48" t="n"/>
    </row>
    <row r="21" ht="19.5" customHeight="1" s="155">
      <c r="A21" s="50" t="inlineStr">
        <is>
          <t>세부할인 내역</t>
        </is>
      </c>
      <c r="B21" s="174" t="n"/>
      <c r="C21" s="161" t="n"/>
      <c r="D21" s="47" t="inlineStr">
        <is>
          <t>할인율(%)</t>
        </is>
      </c>
      <c r="E21" s="175" t="inlineStr">
        <is>
          <t>할인금액</t>
        </is>
      </c>
      <c r="F21" s="174" t="n"/>
      <c r="G21" s="163" t="n"/>
    </row>
    <row r="22" ht="19.5" customHeight="1" s="155">
      <c r="A22" s="176" t="inlineStr">
        <is>
          <t>할인
내역</t>
        </is>
      </c>
      <c r="B22" s="189" t="inlineStr">
        <is>
          <t>패키지 금액</t>
        </is>
      </c>
      <c r="C22" s="161" t="n"/>
      <c r="D22" s="85" t="n">
        <v>0.405</v>
      </c>
      <c r="E22" s="177">
        <f>F19*D22</f>
        <v/>
      </c>
      <c r="F22" s="174" t="n"/>
      <c r="G22" s="163" t="n"/>
    </row>
    <row r="23" ht="19.5" customHeight="1" s="155">
      <c r="A23" s="169" t="n"/>
      <c r="B23" s="138" t="inlineStr">
        <is>
          <t>O월 이벤트할인 / 사전등록 추가할인 등</t>
        </is>
      </c>
      <c r="C23" s="174" t="n"/>
      <c r="D23" s="53" t="n"/>
      <c r="E23" s="178">
        <f>(F19*(1-D22)*D23)</f>
        <v/>
      </c>
      <c r="F23" s="174" t="n"/>
      <c r="G23" s="163" t="n"/>
      <c r="H23" s="48" t="n"/>
      <c r="I23" s="164" t="n"/>
      <c r="J23" s="165" t="n"/>
      <c r="K23" s="51" t="n"/>
      <c r="L23" s="51" t="n"/>
    </row>
    <row r="24" ht="19.5" customHeight="1" s="155">
      <c r="A24" s="179" t="n"/>
      <c r="B24" s="138" t="inlineStr">
        <is>
          <t>친구추천 할인 / 비전공자 할인 등</t>
        </is>
      </c>
      <c r="C24" s="174" t="n"/>
      <c r="D24" s="45" t="n"/>
      <c r="E24" s="177">
        <f>(F19*(1-D22)*(1-D23)*D24)</f>
        <v/>
      </c>
      <c r="F24" s="174" t="n"/>
      <c r="G24" s="163" t="n"/>
      <c r="H24" s="48" t="n"/>
      <c r="I24" s="164" t="n"/>
      <c r="J24" s="165" t="n"/>
      <c r="K24" s="51" t="n"/>
      <c r="L24" s="51" t="n"/>
    </row>
    <row r="25" ht="23.25" customHeight="1" s="155">
      <c r="A25" s="180" t="inlineStr">
        <is>
          <t xml:space="preserve">총 할인금액 (수강지원)  </t>
        </is>
      </c>
      <c r="B25" s="174" t="n"/>
      <c r="C25" s="161" t="n"/>
      <c r="D25" s="181">
        <f>ROUNDUP(SUM(E22:G24),-3)</f>
        <v/>
      </c>
      <c r="E25" s="174" t="n"/>
      <c r="F25" s="174" t="n"/>
      <c r="G25" s="163" t="n"/>
      <c r="H25" s="48" t="n"/>
      <c r="I25" s="48" t="n"/>
      <c r="J25" s="48" t="n"/>
      <c r="K25" s="48" t="n"/>
      <c r="L25" s="48" t="n"/>
    </row>
    <row r="26" ht="23.25" customHeight="1" s="155">
      <c r="A26" s="182" t="inlineStr">
        <is>
          <t xml:space="preserve">납부 해야할 수강료 (할인적용)  </t>
        </is>
      </c>
      <c r="B26" s="174" t="n"/>
      <c r="C26" s="161" t="n"/>
      <c r="D26" s="183">
        <f>F19-D25</f>
        <v/>
      </c>
      <c r="E26" s="174" t="n"/>
      <c r="F26" s="174" t="n"/>
      <c r="G26" s="163" t="n"/>
      <c r="H26" s="48" t="n"/>
      <c r="I26" s="48" t="n"/>
      <c r="J26" s="48" t="n"/>
      <c r="K26" s="48" t="n"/>
      <c r="L26" s="48" t="n"/>
    </row>
    <row r="27" ht="23.25" customFormat="1" customHeight="1" s="48">
      <c r="A27" s="182" t="inlineStr">
        <is>
          <t>총 등록금액</t>
        </is>
      </c>
      <c r="B27" s="174" t="n"/>
      <c r="C27" s="161" t="n"/>
      <c r="D27" s="183">
        <f>SUM(D26+C19)</f>
        <v/>
      </c>
      <c r="E27" s="174" t="n"/>
      <c r="F27" s="174" t="n"/>
      <c r="G27" s="163" t="n"/>
      <c r="H27" s="48" t="n"/>
    </row>
    <row r="28" ht="23.25" customFormat="1" customHeight="1" s="48">
      <c r="A28" s="182" t="inlineStr">
        <is>
          <t>3개월 할부 진행시</t>
        </is>
      </c>
      <c r="B28" s="174" t="n"/>
      <c r="C28" s="161" t="n"/>
      <c r="D28" s="184">
        <f>SUM(D27/3)</f>
        <v/>
      </c>
      <c r="E28" s="174" t="n"/>
      <c r="F28" s="174" t="n"/>
      <c r="G28" s="163" t="n"/>
      <c r="H28" s="48" t="n"/>
    </row>
    <row r="29" ht="23.25" customFormat="1" customHeight="1" s="48">
      <c r="A29" s="182" t="inlineStr">
        <is>
          <t>6개월 할부 진행시</t>
        </is>
      </c>
      <c r="B29" s="174" t="n"/>
      <c r="C29" s="161" t="n"/>
      <c r="D29" s="184">
        <f>SUM(D27/6)</f>
        <v/>
      </c>
      <c r="E29" s="174" t="n"/>
      <c r="F29" s="174" t="n"/>
      <c r="G29" s="163" t="n"/>
      <c r="H29" s="48" t="n"/>
    </row>
    <row r="30" ht="23.25" customFormat="1" customHeight="1" s="48">
      <c r="A30" s="182" t="inlineStr">
        <is>
          <t>1과목당 수강료</t>
        </is>
      </c>
      <c r="B30" s="174" t="n"/>
      <c r="C30" s="161" t="n"/>
      <c r="D30" s="184">
        <f>SUM(D26/D19)</f>
        <v/>
      </c>
      <c r="E30" s="174" t="n"/>
      <c r="F30" s="174" t="n"/>
      <c r="G30" s="163" t="n"/>
      <c r="H30" s="48" t="n"/>
    </row>
    <row r="31" ht="23.25" customFormat="1" customHeight="1" s="48">
      <c r="A31" s="190" t="inlineStr">
        <is>
          <t>★ 당일등록시 혜택 : 000 지원 ★</t>
        </is>
      </c>
      <c r="B31" s="174" t="n"/>
      <c r="C31" s="174" t="n"/>
      <c r="D31" s="174" t="n"/>
      <c r="E31" s="174" t="n"/>
      <c r="F31" s="174" t="n"/>
      <c r="G31" s="163" t="n"/>
      <c r="H31" s="48" t="n"/>
    </row>
    <row r="32" ht="16.5" customFormat="1" customHeight="1" s="48">
      <c r="A32" s="55" t="n"/>
      <c r="B32" s="119" t="n"/>
      <c r="G32" s="54" t="n"/>
      <c r="I32" s="52" t="n"/>
    </row>
    <row r="33" ht="16.5" customFormat="1" customHeight="1" s="48">
      <c r="A33" s="64" t="inlineStr">
        <is>
          <t>■ 안내사항</t>
        </is>
      </c>
      <c r="B33" s="119" t="n"/>
      <c r="C33" s="119" t="n"/>
      <c r="D33" s="119" t="n"/>
      <c r="E33" s="119" t="n"/>
      <c r="F33" s="119" t="n"/>
      <c r="G33" s="54" t="n"/>
      <c r="I33" s="52" t="n"/>
    </row>
    <row r="34" ht="16.5" customFormat="1" customHeight="1" s="48">
      <c r="A34" s="55" t="inlineStr">
        <is>
          <t xml:space="preserve">   1) 위 수강료는 학원내 게시되어 있는 수강료 기준이며, 교육청에 신고된 금액입니다.</t>
        </is>
      </c>
      <c r="B34" s="119" t="n"/>
      <c r="C34" s="119" t="n"/>
      <c r="D34" s="119" t="n"/>
      <c r="E34" s="119" t="n"/>
      <c r="F34" s="119" t="n"/>
      <c r="G34" s="54" t="n"/>
    </row>
    <row r="35" ht="16.5" customFormat="1" customHeight="1" s="48">
      <c r="A35" s="55" t="inlineStr">
        <is>
          <t xml:space="preserve">   2) 위 할인내역은 해당사항에 한해 적용되며, 할인내용에 해당될 시 증명서류를 증빙해야 할인 받을 수 있습니다.</t>
        </is>
      </c>
      <c r="B35" s="119" t="n"/>
      <c r="C35" s="119" t="n"/>
      <c r="D35" s="119" t="n"/>
      <c r="E35" s="119" t="n"/>
      <c r="F35" s="119" t="n"/>
      <c r="G35" s="54" t="n"/>
    </row>
    <row r="36" ht="16.5" customFormat="1" customHeight="1" s="48">
      <c r="A36" s="55" t="inlineStr">
        <is>
          <t xml:space="preserve">   3) 할인금액은 수강과목지원(무료)으로 진행됩니다.</t>
        </is>
      </c>
      <c r="B36" s="56" t="n"/>
      <c r="C36" s="56" t="n"/>
      <c r="D36" s="57" t="n"/>
      <c r="E36" s="57" t="n"/>
      <c r="F36" s="58" t="n"/>
      <c r="G36" s="59" t="n"/>
      <c r="I36" s="48" t="n"/>
      <c r="J36" s="48" t="n"/>
      <c r="K36" s="48" t="n"/>
      <c r="L36" s="48" t="n"/>
    </row>
    <row r="37" ht="16.5" customFormat="1" customHeight="1" s="48">
      <c r="A37" s="55" t="n"/>
      <c r="B37" s="56" t="n"/>
      <c r="C37" s="56" t="n"/>
      <c r="D37" s="57" t="n"/>
      <c r="E37" s="57" t="n"/>
      <c r="F37" s="58" t="n"/>
      <c r="G37" s="59" t="n"/>
      <c r="I37" s="48" t="n"/>
      <c r="J37" s="48" t="n"/>
      <c r="K37" s="48" t="n"/>
      <c r="L37" s="48" t="n"/>
    </row>
    <row r="38" ht="16.5" customFormat="1" customHeight="1" s="48">
      <c r="A38" s="64" t="inlineStr">
        <is>
          <t>■ 수강료 납부 안내</t>
        </is>
      </c>
      <c r="B38" s="60" t="n"/>
      <c r="C38" s="60" t="n"/>
      <c r="D38" s="61" t="n"/>
      <c r="E38" s="61" t="n"/>
      <c r="F38" s="61" t="n"/>
      <c r="G38" s="62" t="n"/>
      <c r="I38" s="48" t="n"/>
      <c r="J38" s="48" t="n"/>
      <c r="K38" s="48" t="n"/>
      <c r="L38" s="48" t="n"/>
    </row>
    <row r="39" ht="16.5" customFormat="1" customHeight="1" s="48">
      <c r="A39" s="55" t="inlineStr">
        <is>
          <t xml:space="preserve">    1) 현금수납 - 학원 안내접수처에서 접수 및 결제(현금영수증 발행)</t>
        </is>
      </c>
      <c r="B39" s="63" t="n"/>
      <c r="C39" s="63" t="n"/>
      <c r="D39" s="61" t="n"/>
      <c r="E39" s="61" t="n"/>
      <c r="F39" s="61" t="n"/>
      <c r="G39" s="62" t="n"/>
      <c r="I39" s="48" t="n"/>
      <c r="J39" s="48" t="n"/>
      <c r="K39" s="48" t="n"/>
      <c r="L39" s="48" t="n"/>
    </row>
    <row r="40" ht="16.5" customFormat="1" customHeight="1" s="48">
      <c r="A40" s="55" t="inlineStr">
        <is>
          <t xml:space="preserve">    2) 온라인입금(계좌이체) 결제(현금영수증 발행)</t>
        </is>
      </c>
      <c r="B40" s="63" t="n"/>
      <c r="C40" s="63" t="n"/>
      <c r="D40" s="61" t="n"/>
      <c r="E40" s="61" t="n"/>
      <c r="F40" s="61" t="n"/>
      <c r="G40" s="62" t="n"/>
      <c r="I40" s="48" t="n"/>
      <c r="J40" s="48" t="n"/>
      <c r="K40" s="48" t="n"/>
      <c r="L40" s="48" t="n"/>
    </row>
    <row r="41" ht="16.5" customFormat="1" customHeight="1" s="48">
      <c r="A41" s="64" t="inlineStr">
        <is>
          <t xml:space="preserve">           기업은행 064-166274-04-024 (주)코리아아이티아카데미대전 </t>
        </is>
      </c>
      <c r="B41" s="65" t="n"/>
      <c r="C41" s="65" t="n"/>
      <c r="D41" s="61" t="n"/>
      <c r="E41" s="61" t="n"/>
      <c r="F41" s="61" t="n"/>
      <c r="G41" s="62" t="n"/>
      <c r="I41" s="48" t="n"/>
      <c r="J41" s="48" t="n"/>
      <c r="K41" s="48" t="n"/>
      <c r="L41" s="48" t="n"/>
    </row>
    <row r="42" ht="16.5" customFormat="1" customHeight="1" s="48">
      <c r="A42" s="55" t="inlineStr">
        <is>
          <t xml:space="preserve">    3) 카드수납 - 학원 안내접수처에서 접수 및 결제 or 카드번호 결제(키인결제)</t>
        </is>
      </c>
      <c r="B42" s="66" t="n"/>
      <c r="C42" s="66" t="n"/>
      <c r="D42" s="61" t="n"/>
      <c r="E42" s="61" t="n"/>
      <c r="F42" s="61" t="n"/>
      <c r="G42" s="62" t="n"/>
      <c r="I42" s="48" t="n"/>
      <c r="J42" s="48" t="n"/>
      <c r="K42" s="48" t="n"/>
      <c r="L42" s="48" t="n"/>
    </row>
    <row r="43" ht="16.5" customFormat="1" customHeight="1" s="48">
      <c r="A43" s="55" t="inlineStr">
        <is>
          <t xml:space="preserve">                     - 학원 홈페이지(모바일, PC) 결제 &gt; 담당멘토 문의</t>
        </is>
      </c>
      <c r="B43" s="66" t="n"/>
      <c r="C43" s="66" t="n"/>
      <c r="D43" s="61" t="n"/>
      <c r="E43" s="61" t="n"/>
      <c r="F43" s="61" t="n"/>
      <c r="G43" s="62" t="n"/>
      <c r="I43" s="48" t="n"/>
      <c r="J43" s="48" t="n"/>
      <c r="K43" s="48" t="n"/>
      <c r="L43" s="48" t="n"/>
    </row>
    <row r="44" customFormat="1" s="48">
      <c r="A44" s="55" t="inlineStr">
        <is>
          <t xml:space="preserve">      * 카드사별 무이자 할부 혜택 상이함</t>
        </is>
      </c>
      <c r="B44" s="67" t="n"/>
      <c r="C44" s="67" t="n"/>
      <c r="D44" s="61" t="n"/>
      <c r="E44" s="61" t="n"/>
      <c r="F44" s="61" t="n"/>
      <c r="G44" s="62" t="n"/>
      <c r="I44" s="48" t="n"/>
      <c r="J44" s="48" t="n"/>
      <c r="K44" s="48" t="n"/>
      <c r="L44" s="48" t="n"/>
    </row>
    <row r="45" ht="14.25" customFormat="1" customHeight="1" s="48" thickBot="1">
      <c r="A45" s="68" t="n"/>
      <c r="B45" s="69" t="n"/>
      <c r="C45" s="69" t="n"/>
      <c r="D45" s="69" t="n"/>
      <c r="E45" s="69" t="n"/>
      <c r="F45" s="69" t="n"/>
      <c r="G45" s="70" t="n"/>
      <c r="I45" s="48" t="n"/>
      <c r="J45" s="48" t="n"/>
      <c r="K45" s="48" t="n"/>
      <c r="L45" s="48" t="n"/>
    </row>
  </sheetData>
  <mergeCells count="52">
    <mergeCell ref="A25:C25"/>
    <mergeCell ref="F4:G4"/>
    <mergeCell ref="F11:G11"/>
    <mergeCell ref="B16:C16"/>
    <mergeCell ref="B7:C7"/>
    <mergeCell ref="F10:G10"/>
    <mergeCell ref="F16:G16"/>
    <mergeCell ref="D25:G25"/>
    <mergeCell ref="F19:G19"/>
    <mergeCell ref="D30:G30"/>
    <mergeCell ref="A27:C27"/>
    <mergeCell ref="B22:C22"/>
    <mergeCell ref="A21:C21"/>
    <mergeCell ref="D29:G29"/>
    <mergeCell ref="B18:C18"/>
    <mergeCell ref="A22:A24"/>
    <mergeCell ref="A26:C26"/>
    <mergeCell ref="F7:G7"/>
    <mergeCell ref="B12:C12"/>
    <mergeCell ref="F12:G12"/>
    <mergeCell ref="D26:G26"/>
    <mergeCell ref="B11:C11"/>
    <mergeCell ref="A31:G31"/>
    <mergeCell ref="F15:G15"/>
    <mergeCell ref="A8:A18"/>
    <mergeCell ref="F20:G20"/>
    <mergeCell ref="F18:G18"/>
    <mergeCell ref="B23:C23"/>
    <mergeCell ref="B14:C14"/>
    <mergeCell ref="B17:C17"/>
    <mergeCell ref="A29:C29"/>
    <mergeCell ref="B8:C8"/>
    <mergeCell ref="F17:G17"/>
    <mergeCell ref="F8:G8"/>
    <mergeCell ref="B13:C13"/>
    <mergeCell ref="A28:C28"/>
    <mergeCell ref="A1:G3"/>
    <mergeCell ref="E22:G22"/>
    <mergeCell ref="B10:C10"/>
    <mergeCell ref="A30:C30"/>
    <mergeCell ref="E21:G21"/>
    <mergeCell ref="D27:G27"/>
    <mergeCell ref="B9:C9"/>
    <mergeCell ref="F13:G13"/>
    <mergeCell ref="F9:G9"/>
    <mergeCell ref="E24:G24"/>
    <mergeCell ref="B24:C24"/>
    <mergeCell ref="B15:C15"/>
    <mergeCell ref="E23:G23"/>
    <mergeCell ref="F14:G14"/>
    <mergeCell ref="B32:F32"/>
    <mergeCell ref="D28:G28"/>
  </mergeCells>
  <pageMargins left="0.7" right="0.7" top="0.75" bottom="0.75" header="0.3" footer="0.3"/>
  <pageSetup orientation="portrait" paperSize="9" scale="8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/>
  </sheetPr>
  <dimension ref="A1:L44"/>
  <sheetViews>
    <sheetView view="pageBreakPreview" topLeftCell="A7" zoomScaleNormal="100" zoomScaleSheetLayoutView="100" workbookViewId="0">
      <selection activeCell="C19" sqref="C19"/>
    </sheetView>
  </sheetViews>
  <sheetFormatPr baseColWidth="8" defaultColWidth="8.88671875" defaultRowHeight="13.5"/>
  <cols>
    <col width="8.88671875" customWidth="1" style="48" min="1" max="1"/>
    <col width="29.21875" customWidth="1" style="48" min="2" max="2"/>
    <col width="14.5546875" customWidth="1" style="48" min="3" max="3"/>
    <col width="11.6640625" bestFit="1" customWidth="1" style="48" min="4" max="4"/>
    <col width="10.77734375" customWidth="1" style="48" min="5" max="5"/>
    <col width="8.109375" customWidth="1" style="48" min="6" max="6"/>
    <col width="10.5546875" customWidth="1" style="48" min="7" max="7"/>
    <col width="5.6640625" customWidth="1" style="48" min="8" max="8"/>
    <col width="21.6640625" bestFit="1" customWidth="1" style="48" min="9" max="9"/>
    <col width="19.44140625" bestFit="1" customWidth="1" style="48" min="10" max="10"/>
    <col width="20" bestFit="1" customWidth="1" style="48" min="11" max="11"/>
    <col width="19.44140625" bestFit="1" customWidth="1" style="48" min="12" max="12"/>
    <col width="8.88671875" customWidth="1" style="48" min="13" max="16384"/>
  </cols>
  <sheetData>
    <row r="1" ht="13.5" customHeight="1" s="155">
      <c r="A1" s="156" t="inlineStr">
        <is>
          <t>코리아 IT아카데미 교육과정 수강료 안내</t>
        </is>
      </c>
      <c r="B1" s="157" t="n"/>
      <c r="C1" s="157" t="n"/>
      <c r="D1" s="157" t="n"/>
      <c r="E1" s="157" t="n"/>
      <c r="F1" s="157" t="n"/>
      <c r="G1" s="158" t="n"/>
    </row>
    <row r="2" ht="13.5" customHeight="1" s="155">
      <c r="A2" s="159" t="n"/>
      <c r="G2" s="160" t="n"/>
    </row>
    <row r="3" ht="13.5" customHeight="1" s="155">
      <c r="A3" s="159" t="n"/>
      <c r="G3" s="160" t="n"/>
    </row>
    <row r="4" ht="27" customHeight="1" s="155">
      <c r="A4" s="79" t="n"/>
      <c r="B4" s="80" t="n"/>
      <c r="C4" s="76" t="n"/>
      <c r="D4" s="72" t="n"/>
      <c r="E4" s="73" t="n"/>
      <c r="F4" s="104" t="n"/>
      <c r="G4" s="160" t="n"/>
    </row>
    <row r="5" ht="27" customHeight="1" s="155">
      <c r="A5" s="79" t="n"/>
      <c r="B5" s="80" t="n"/>
      <c r="C5" s="82" t="inlineStr">
        <is>
          <t xml:space="preserve">상 담 일 자 : </t>
        </is>
      </c>
      <c r="D5" s="83">
        <f>TODAY()</f>
        <v/>
      </c>
      <c r="E5" s="84" t="inlineStr">
        <is>
          <t xml:space="preserve">상 담 자 : </t>
        </is>
      </c>
      <c r="F5" s="75" t="inlineStr">
        <is>
          <t>이소연 교육멘토</t>
        </is>
      </c>
      <c r="G5" s="78" t="n"/>
    </row>
    <row r="6" ht="19.5" customHeight="1" s="155">
      <c r="A6" s="74" t="inlineStr">
        <is>
          <t xml:space="preserve">■  과정 및 수강료                              </t>
        </is>
      </c>
      <c r="B6" s="75" t="n"/>
      <c r="C6" s="76" t="n"/>
      <c r="D6" s="77" t="n"/>
      <c r="E6" s="82" t="inlineStr">
        <is>
          <t xml:space="preserve">연 락 처 : </t>
        </is>
      </c>
      <c r="F6" s="75" t="inlineStr">
        <is>
          <t>042-369-5817</t>
        </is>
      </c>
      <c r="G6" s="81" t="n"/>
    </row>
    <row r="7" ht="19.5" customHeight="1" s="155">
      <c r="A7" s="50" t="inlineStr">
        <is>
          <t>과 정</t>
        </is>
      </c>
      <c r="B7" s="47" t="inlineStr">
        <is>
          <t>과목명</t>
        </is>
      </c>
      <c r="C7" s="161" t="n"/>
      <c r="D7" s="47" t="inlineStr">
        <is>
          <t>COURSE</t>
        </is>
      </c>
      <c r="E7" s="47" t="inlineStr">
        <is>
          <t>DAY</t>
        </is>
      </c>
      <c r="F7" s="162" t="inlineStr">
        <is>
          <t>수강료</t>
        </is>
      </c>
      <c r="G7" s="163" t="n"/>
      <c r="I7" s="164" t="n"/>
      <c r="J7" s="165" t="n"/>
      <c r="K7" s="51" t="n"/>
      <c r="L7" s="51" t="n"/>
    </row>
    <row r="8" ht="19.5" customHeight="1" s="155">
      <c r="A8" s="120" t="inlineStr">
        <is>
          <t>Spring
풀스택
개발자
정규과정</t>
        </is>
      </c>
      <c r="B8" s="166" t="inlineStr">
        <is>
          <t>DBMS (SQL)</t>
        </is>
      </c>
      <c r="C8" s="161" t="n"/>
      <c r="D8" s="167" t="n">
        <v>1</v>
      </c>
      <c r="E8" s="71" t="inlineStr">
        <is>
          <t>평일 / 주말</t>
        </is>
      </c>
      <c r="F8" s="168" t="n">
        <v>500000</v>
      </c>
      <c r="G8" s="163" t="n"/>
      <c r="I8" s="164" t="n"/>
      <c r="J8" s="165" t="n"/>
      <c r="K8" s="51" t="n"/>
      <c r="L8" s="51" t="n"/>
    </row>
    <row r="9" ht="19.5" customHeight="1" s="155">
      <c r="A9" s="169" t="n"/>
      <c r="B9" s="166" t="inlineStr">
        <is>
          <t>SQL-D (자격증)</t>
        </is>
      </c>
      <c r="C9" s="161" t="n"/>
      <c r="D9" s="167" t="n">
        <v>1</v>
      </c>
      <c r="E9" s="71" t="inlineStr">
        <is>
          <t>평일 / 주말</t>
        </is>
      </c>
      <c r="F9" s="168" t="n">
        <v>500000</v>
      </c>
      <c r="G9" s="163" t="n"/>
      <c r="I9" s="164" t="n"/>
      <c r="J9" s="165" t="n"/>
      <c r="K9" s="51" t="n"/>
      <c r="L9" s="51" t="n"/>
    </row>
    <row r="10" ht="19.5" customHeight="1" s="155">
      <c r="A10" s="169" t="n"/>
      <c r="B10" s="166" t="inlineStr">
        <is>
          <t>리눅스 1</t>
        </is>
      </c>
      <c r="C10" s="161" t="n"/>
      <c r="D10" s="167" t="n">
        <v>1</v>
      </c>
      <c r="E10" s="71" t="inlineStr">
        <is>
          <t>평일 / 주말</t>
        </is>
      </c>
      <c r="F10" s="168" t="n">
        <v>500000</v>
      </c>
      <c r="G10" s="163" t="n"/>
      <c r="I10" s="52" t="n"/>
      <c r="J10" s="48" t="n"/>
      <c r="K10" s="48" t="n"/>
      <c r="L10" s="48" t="n"/>
    </row>
    <row r="11" ht="19.5" customHeight="1" s="155">
      <c r="A11" s="169" t="n"/>
      <c r="B11" s="185" t="inlineStr">
        <is>
          <t>리눅스 2</t>
        </is>
      </c>
      <c r="C11" s="161" t="n"/>
      <c r="D11" s="167" t="n">
        <v>1</v>
      </c>
      <c r="E11" s="71" t="inlineStr">
        <is>
          <t>평일 / 주말</t>
        </is>
      </c>
      <c r="F11" s="168" t="n">
        <v>500000</v>
      </c>
      <c r="G11" s="163" t="n"/>
      <c r="I11" s="48" t="n"/>
      <c r="J11" s="48" t="n"/>
      <c r="K11" s="48" t="n"/>
      <c r="L11" s="48" t="n"/>
    </row>
    <row r="12" ht="19.5" customHeight="1" s="155">
      <c r="A12" s="169" t="n"/>
      <c r="B12" s="185" t="inlineStr">
        <is>
          <t>리눅스마스터 2급 (자격증)</t>
        </is>
      </c>
      <c r="C12" s="161" t="n"/>
      <c r="D12" s="167" t="n">
        <v>1</v>
      </c>
      <c r="E12" s="71" t="inlineStr">
        <is>
          <t>평일 / 주말</t>
        </is>
      </c>
      <c r="F12" s="168" t="n">
        <v>500000</v>
      </c>
      <c r="G12" s="163" t="n"/>
      <c r="I12" s="48" t="n"/>
      <c r="J12" s="48" t="n"/>
      <c r="K12" s="48" t="n"/>
      <c r="L12" s="48" t="n"/>
    </row>
    <row r="13" ht="19.5" customHeight="1" s="155">
      <c r="A13" s="169" t="n"/>
      <c r="B13" s="191" t="inlineStr">
        <is>
          <t>Spring 풀스택 개발 1</t>
        </is>
      </c>
      <c r="C13" s="192" t="n"/>
      <c r="D13" s="167" t="n">
        <v>1</v>
      </c>
      <c r="E13" s="71" t="inlineStr">
        <is>
          <t>평일(월~목)</t>
        </is>
      </c>
      <c r="F13" s="168" t="n">
        <v>900000</v>
      </c>
      <c r="G13" s="163" t="n"/>
      <c r="I13" s="164" t="n"/>
      <c r="J13" s="165" t="n"/>
      <c r="K13" s="51" t="n"/>
      <c r="L13" s="51" t="n"/>
    </row>
    <row r="14" ht="19.5" customHeight="1" s="155">
      <c r="A14" s="169" t="n"/>
      <c r="B14" s="191" t="inlineStr">
        <is>
          <t>Spring 풀스택 개발 2</t>
        </is>
      </c>
      <c r="C14" s="192" t="n"/>
      <c r="D14" s="167" t="n">
        <v>1</v>
      </c>
      <c r="E14" s="71" t="inlineStr">
        <is>
          <t>평일(월~목)</t>
        </is>
      </c>
      <c r="F14" s="168" t="n">
        <v>900000</v>
      </c>
      <c r="G14" s="163" t="n"/>
      <c r="I14" s="164" t="n"/>
      <c r="J14" s="165" t="n"/>
      <c r="K14" s="51" t="n"/>
      <c r="L14" s="51" t="n"/>
    </row>
    <row r="15" ht="19.5" customHeight="1" s="155">
      <c r="A15" s="169" t="n"/>
      <c r="B15" s="191" t="inlineStr">
        <is>
          <t>Spring 풀스택 개발 3</t>
        </is>
      </c>
      <c r="C15" s="192" t="n"/>
      <c r="D15" s="167" t="n">
        <v>1</v>
      </c>
      <c r="E15" s="71" t="inlineStr">
        <is>
          <t>평일(월~목)</t>
        </is>
      </c>
      <c r="F15" s="168" t="n">
        <v>900000</v>
      </c>
      <c r="G15" s="163" t="n"/>
      <c r="I15" s="164" t="n"/>
      <c r="J15" s="165" t="n"/>
      <c r="K15" s="51" t="n"/>
      <c r="L15" s="51" t="n"/>
    </row>
    <row r="16" ht="19.5" customHeight="1" s="155">
      <c r="A16" s="169" t="n"/>
      <c r="B16" s="191" t="inlineStr">
        <is>
          <t>Spring 풀스택 개발 4</t>
        </is>
      </c>
      <c r="C16" s="192" t="n"/>
      <c r="D16" s="167" t="n">
        <v>1</v>
      </c>
      <c r="E16" s="71" t="inlineStr">
        <is>
          <t>평일(월~목)</t>
        </is>
      </c>
      <c r="F16" s="168" t="n">
        <v>900000</v>
      </c>
      <c r="G16" s="163" t="n"/>
      <c r="I16" s="164" t="n"/>
      <c r="J16" s="165" t="n"/>
      <c r="K16" s="51" t="n"/>
      <c r="L16" s="51" t="n"/>
    </row>
    <row r="17" ht="19.5" customFormat="1" customHeight="1" s="48">
      <c r="A17" s="169" t="n"/>
      <c r="B17" s="191" t="inlineStr">
        <is>
          <t xml:space="preserve">Spring 풀스택 개발 5 </t>
        </is>
      </c>
      <c r="C17" s="192" t="n"/>
      <c r="D17" s="167" t="n">
        <v>1</v>
      </c>
      <c r="E17" s="71" t="inlineStr">
        <is>
          <t>평일(월~목)</t>
        </is>
      </c>
      <c r="F17" s="168" t="n">
        <v>900000</v>
      </c>
      <c r="G17" s="163" t="n"/>
      <c r="I17" s="164" t="n"/>
      <c r="J17" s="165" t="n"/>
      <c r="K17" s="51" t="n"/>
      <c r="L17" s="51" t="n"/>
    </row>
    <row r="18" ht="19.5" customHeight="1" s="155">
      <c r="A18" s="169" t="n"/>
      <c r="B18" s="191" t="inlineStr">
        <is>
          <t>Spring 풀스택 개발 6 (Project)</t>
        </is>
      </c>
      <c r="C18" s="192" t="n"/>
      <c r="D18" s="167" t="n">
        <v>1</v>
      </c>
      <c r="E18" s="71" t="inlineStr">
        <is>
          <t>평일(격일)</t>
        </is>
      </c>
      <c r="F18" s="168" t="n">
        <v>900000</v>
      </c>
      <c r="G18" s="163" t="n"/>
      <c r="I18" s="164" t="n"/>
      <c r="J18" s="165" t="n"/>
      <c r="K18" s="51" t="n"/>
      <c r="L18" s="51" t="n"/>
    </row>
    <row r="19" ht="33.6" customHeight="1" s="155">
      <c r="A19" s="93" t="inlineStr">
        <is>
          <t>따즈아</t>
        </is>
      </c>
      <c r="B19" s="94" t="inlineStr">
        <is>
          <t>온라인강의</t>
        </is>
      </c>
      <c r="C19" s="95" t="n">
        <v>0</v>
      </c>
      <c r="D19" s="170">
        <f>SUM(D8:D18)</f>
        <v/>
      </c>
      <c r="E19" s="88" t="inlineStr">
        <is>
          <t>원수강료</t>
        </is>
      </c>
      <c r="F19" s="188">
        <f>SUM(F8:G18)</f>
        <v/>
      </c>
      <c r="G19" s="172" t="n"/>
      <c r="I19" s="48" t="n"/>
      <c r="J19" s="48" t="n"/>
      <c r="K19" s="48" t="n"/>
      <c r="L19" s="48" t="n"/>
    </row>
    <row r="20" ht="19.5" customHeight="1" s="155">
      <c r="A20" s="49" t="inlineStr">
        <is>
          <t>■ 교육과정 할인내역</t>
        </is>
      </c>
      <c r="B20" s="90" t="n"/>
      <c r="C20" s="91" t="n"/>
      <c r="D20" s="56" t="n"/>
      <c r="E20" s="56" t="n"/>
      <c r="F20" s="173" t="n"/>
      <c r="G20" s="160" t="n"/>
      <c r="I20" s="48" t="n"/>
      <c r="J20" s="48" t="n"/>
      <c r="K20" s="48" t="n"/>
      <c r="L20" s="48" t="n"/>
    </row>
    <row r="21" ht="19.5" customHeight="1" s="155">
      <c r="A21" s="50" t="inlineStr">
        <is>
          <t>세부할인 내역</t>
        </is>
      </c>
      <c r="B21" s="174" t="n"/>
      <c r="C21" s="161" t="n"/>
      <c r="D21" s="47" t="inlineStr">
        <is>
          <t>할인율(%)</t>
        </is>
      </c>
      <c r="E21" s="175" t="inlineStr">
        <is>
          <t>할인금액</t>
        </is>
      </c>
      <c r="F21" s="174" t="n"/>
      <c r="G21" s="163" t="n"/>
    </row>
    <row r="22" ht="19.5" customHeight="1" s="155">
      <c r="A22" s="176" t="inlineStr">
        <is>
          <t>할인
내역</t>
        </is>
      </c>
      <c r="B22" s="189" t="inlineStr">
        <is>
          <t>패키지 금액</t>
        </is>
      </c>
      <c r="C22" s="161" t="n"/>
      <c r="D22" s="85" t="n">
        <v>0.2</v>
      </c>
      <c r="E22" s="177">
        <f>F19*D22</f>
        <v/>
      </c>
      <c r="F22" s="174" t="n"/>
      <c r="G22" s="163" t="n"/>
    </row>
    <row r="23" ht="19.5" customHeight="1" s="155">
      <c r="A23" s="169" t="n"/>
      <c r="B23" s="138" t="inlineStr">
        <is>
          <t>O월 이벤트할인 / 사전등록 추가할인 등</t>
        </is>
      </c>
      <c r="C23" s="174" t="n"/>
      <c r="D23" s="53" t="n">
        <v>0.2</v>
      </c>
      <c r="E23" s="178">
        <f>(F19*(1-D22)*D23)</f>
        <v/>
      </c>
      <c r="F23" s="174" t="n"/>
      <c r="G23" s="163" t="n"/>
    </row>
    <row r="24" ht="19.5" customHeight="1" s="155">
      <c r="A24" s="179" t="n"/>
      <c r="B24" s="138" t="inlineStr">
        <is>
          <t>친구추천 할인 / 비전공자 할인 등</t>
        </is>
      </c>
      <c r="C24" s="174" t="n"/>
      <c r="D24" s="45" t="n">
        <v>0.2</v>
      </c>
      <c r="E24" s="177">
        <f>(F19*(1-D22)*(1-D23)*D24)</f>
        <v/>
      </c>
      <c r="F24" s="174" t="n"/>
      <c r="G24" s="163" t="n"/>
      <c r="H24" s="48" t="n"/>
      <c r="I24" s="164" t="n"/>
      <c r="J24" s="165" t="n"/>
      <c r="K24" s="51" t="n"/>
      <c r="L24" s="51" t="n"/>
    </row>
    <row r="25" ht="19.5" customHeight="1" s="155">
      <c r="A25" s="180" t="inlineStr">
        <is>
          <t xml:space="preserve">총 할인금액 (수강지원)  </t>
        </is>
      </c>
      <c r="B25" s="174" t="n"/>
      <c r="C25" s="161" t="n"/>
      <c r="D25" s="181">
        <f>ROUNDUP(SUM(E22:G24),-3)</f>
        <v/>
      </c>
      <c r="E25" s="174" t="n"/>
      <c r="F25" s="174" t="n"/>
      <c r="G25" s="163" t="n"/>
      <c r="H25" s="48" t="n"/>
      <c r="I25" s="164" t="n"/>
      <c r="J25" s="165" t="n"/>
      <c r="K25" s="51" t="n"/>
      <c r="L25" s="51" t="n"/>
    </row>
    <row r="26" ht="23.25" customHeight="1" s="155">
      <c r="A26" s="182" t="inlineStr">
        <is>
          <t xml:space="preserve">납부 해야할 수강료 (할인적용)  </t>
        </is>
      </c>
      <c r="B26" s="174" t="n"/>
      <c r="C26" s="161" t="n"/>
      <c r="D26" s="183">
        <f>F19-D25</f>
        <v/>
      </c>
      <c r="E26" s="174" t="n"/>
      <c r="F26" s="174" t="n"/>
      <c r="G26" s="163" t="n"/>
      <c r="H26" s="48" t="n"/>
      <c r="I26" s="48" t="n"/>
      <c r="J26" s="48" t="n"/>
      <c r="K26" s="48" t="n"/>
      <c r="L26" s="48" t="n"/>
    </row>
    <row r="27" ht="23.25" customFormat="1" customHeight="1" s="48">
      <c r="A27" s="182" t="inlineStr">
        <is>
          <t>총 등록금액</t>
        </is>
      </c>
      <c r="B27" s="174" t="n"/>
      <c r="C27" s="161" t="n"/>
      <c r="D27" s="183">
        <f>SUM(D26+C19)</f>
        <v/>
      </c>
      <c r="E27" s="174" t="n"/>
      <c r="F27" s="174" t="n"/>
      <c r="G27" s="163" t="n"/>
      <c r="H27" s="48" t="n"/>
    </row>
    <row r="28" ht="23.25" customFormat="1" customHeight="1" s="48">
      <c r="A28" s="182" t="inlineStr">
        <is>
          <t>3개월 할부 진행시</t>
        </is>
      </c>
      <c r="B28" s="174" t="n"/>
      <c r="C28" s="161" t="n"/>
      <c r="D28" s="184">
        <f>SUM(D27/3)</f>
        <v/>
      </c>
      <c r="E28" s="174" t="n"/>
      <c r="F28" s="174" t="n"/>
      <c r="G28" s="163" t="n"/>
      <c r="H28" s="48" t="n"/>
    </row>
    <row r="29" ht="23.25" customFormat="1" customHeight="1" s="48">
      <c r="A29" s="182" t="inlineStr">
        <is>
          <t>6개월 할부 진행시</t>
        </is>
      </c>
      <c r="B29" s="174" t="n"/>
      <c r="C29" s="161" t="n"/>
      <c r="D29" s="184">
        <f>SUM(D27/6)</f>
        <v/>
      </c>
      <c r="E29" s="174" t="n"/>
      <c r="F29" s="174" t="n"/>
      <c r="G29" s="163" t="n"/>
      <c r="H29" s="48" t="n"/>
    </row>
    <row r="30" ht="23.25" customFormat="1" customHeight="1" s="48">
      <c r="A30" s="182" t="inlineStr">
        <is>
          <t>1과목당 수강료</t>
        </is>
      </c>
      <c r="B30" s="174" t="n"/>
      <c r="C30" s="161" t="n"/>
      <c r="D30" s="184">
        <f>SUM(D26/D19)</f>
        <v/>
      </c>
      <c r="E30" s="174" t="n"/>
      <c r="F30" s="174" t="n"/>
      <c r="G30" s="163" t="n"/>
      <c r="H30" s="48" t="n"/>
    </row>
    <row r="31" ht="23.25" customFormat="1" customHeight="1" s="48">
      <c r="A31" s="190" t="inlineStr">
        <is>
          <t>★ 당일등록시 혜택 : 000 지원 ★</t>
        </is>
      </c>
      <c r="B31" s="174" t="n"/>
      <c r="C31" s="174" t="n"/>
      <c r="D31" s="174" t="n"/>
      <c r="E31" s="174" t="n"/>
      <c r="F31" s="174" t="n"/>
      <c r="G31" s="163" t="n"/>
      <c r="H31" s="48" t="n"/>
    </row>
    <row r="32" ht="16.5" customFormat="1" customHeight="1" s="48">
      <c r="A32" s="55" t="n"/>
      <c r="B32" s="119" t="n"/>
      <c r="G32" s="54" t="n"/>
      <c r="I32" s="52" t="n"/>
    </row>
    <row r="33" ht="16.5" customFormat="1" customHeight="1" s="48">
      <c r="A33" s="64" t="inlineStr">
        <is>
          <t>■ 안내사항</t>
        </is>
      </c>
      <c r="B33" s="119" t="n"/>
      <c r="C33" s="119" t="n"/>
      <c r="D33" s="119" t="n"/>
      <c r="E33" s="119" t="n"/>
      <c r="F33" s="119" t="n"/>
      <c r="G33" s="54" t="n"/>
      <c r="I33" s="52" t="n"/>
    </row>
    <row r="34" ht="16.5" customFormat="1" customHeight="1" s="48">
      <c r="A34" s="55" t="inlineStr">
        <is>
          <t xml:space="preserve">   1) 위 수강료는 학원내 게시되어 있는 수강료 기준이며, 교육청에 신고된 금액입니다.</t>
        </is>
      </c>
      <c r="B34" s="119" t="n"/>
      <c r="C34" s="119" t="n"/>
      <c r="D34" s="119" t="n"/>
      <c r="E34" s="119" t="n"/>
      <c r="F34" s="119" t="n"/>
      <c r="G34" s="54" t="n"/>
    </row>
    <row r="35" ht="16.5" customFormat="1" customHeight="1" s="48">
      <c r="A35" s="55" t="inlineStr">
        <is>
          <t xml:space="preserve">   2) 위 할인내역은 해당사항에 한해 적용되며, 할인내용에 해당될 시 증명서류를 증빙해야 할인 받을 수 있습니다.</t>
        </is>
      </c>
      <c r="B35" s="119" t="n"/>
      <c r="C35" s="119" t="n"/>
      <c r="D35" s="119" t="n"/>
      <c r="E35" s="119" t="n"/>
      <c r="F35" s="119" t="n"/>
      <c r="G35" s="54" t="n"/>
    </row>
    <row r="36" ht="16.5" customFormat="1" customHeight="1" s="48">
      <c r="A36" s="55" t="inlineStr">
        <is>
          <t xml:space="preserve">   3) 할인금액은 수강과목지원(무료)으로 진행됩니다.</t>
        </is>
      </c>
      <c r="B36" s="56" t="n"/>
      <c r="C36" s="56" t="n"/>
      <c r="D36" s="57" t="n"/>
      <c r="E36" s="57" t="n"/>
      <c r="F36" s="58" t="n"/>
      <c r="G36" s="59" t="n"/>
      <c r="I36" s="48" t="n"/>
      <c r="J36" s="48" t="n"/>
      <c r="K36" s="48" t="n"/>
      <c r="L36" s="48" t="n"/>
    </row>
    <row r="37" ht="16.5" customFormat="1" customHeight="1" s="48">
      <c r="A37" s="55" t="n"/>
      <c r="B37" s="56" t="n"/>
      <c r="C37" s="56" t="n"/>
      <c r="D37" s="57" t="n"/>
      <c r="E37" s="57" t="n"/>
      <c r="F37" s="58" t="n"/>
      <c r="G37" s="59" t="n"/>
      <c r="I37" s="48" t="n"/>
      <c r="J37" s="48" t="n"/>
      <c r="K37" s="48" t="n"/>
      <c r="L37" s="48" t="n"/>
    </row>
    <row r="38" ht="16.5" customFormat="1" customHeight="1" s="48">
      <c r="A38" s="64" t="inlineStr">
        <is>
          <t>■ 수강료 납부 안내</t>
        </is>
      </c>
      <c r="B38" s="60" t="n"/>
      <c r="C38" s="60" t="n"/>
      <c r="D38" s="61" t="n"/>
      <c r="E38" s="61" t="n"/>
      <c r="F38" s="61" t="n"/>
      <c r="G38" s="62" t="n"/>
      <c r="I38" s="48" t="n"/>
      <c r="J38" s="48" t="n"/>
      <c r="K38" s="48" t="n"/>
      <c r="L38" s="48" t="n"/>
    </row>
    <row r="39" ht="16.5" customFormat="1" customHeight="1" s="48">
      <c r="A39" s="55" t="inlineStr">
        <is>
          <t xml:space="preserve">    1) 현금수납 - 학원 안내접수처에서 접수 및 결제(현금영수증 발행)</t>
        </is>
      </c>
      <c r="B39" s="63" t="n"/>
      <c r="C39" s="63" t="n"/>
      <c r="D39" s="61" t="n"/>
      <c r="E39" s="61" t="n"/>
      <c r="F39" s="61" t="n"/>
      <c r="G39" s="62" t="n"/>
      <c r="I39" s="48" t="n"/>
      <c r="J39" s="48" t="n"/>
      <c r="K39" s="48" t="n"/>
      <c r="L39" s="48" t="n"/>
    </row>
    <row r="40" ht="16.5" customFormat="1" customHeight="1" s="48">
      <c r="A40" s="55" t="inlineStr">
        <is>
          <t xml:space="preserve">    2) 온라인입금(계좌이체) 결제(현금영수증 발행)</t>
        </is>
      </c>
      <c r="B40" s="63" t="n"/>
      <c r="C40" s="63" t="n"/>
      <c r="D40" s="61" t="n"/>
      <c r="E40" s="61" t="n"/>
      <c r="F40" s="61" t="n"/>
      <c r="G40" s="62" t="n"/>
      <c r="I40" s="48" t="n"/>
      <c r="J40" s="48" t="n"/>
      <c r="K40" s="48" t="n"/>
      <c r="L40" s="48" t="n"/>
    </row>
    <row r="41" ht="16.5" customFormat="1" customHeight="1" s="48">
      <c r="A41" s="64" t="inlineStr">
        <is>
          <t xml:space="preserve">           기업은행 064-166274-04-024 (주)코리아아이티아카데미대전 </t>
        </is>
      </c>
      <c r="B41" s="65" t="n"/>
      <c r="C41" s="65" t="n"/>
      <c r="D41" s="61" t="n"/>
      <c r="E41" s="61" t="n"/>
      <c r="F41" s="61" t="n"/>
      <c r="G41" s="62" t="n"/>
      <c r="I41" s="48" t="n"/>
      <c r="J41" s="48" t="n"/>
      <c r="K41" s="48" t="n"/>
      <c r="L41" s="48" t="n"/>
    </row>
    <row r="42" ht="16.5" customFormat="1" customHeight="1" s="48">
      <c r="A42" s="55" t="inlineStr">
        <is>
          <t xml:space="preserve">    3) 카드수납 - 학원 안내접수처에서 접수 및 결제 or 카드번호 결제(키인결제)</t>
        </is>
      </c>
      <c r="B42" s="66" t="n"/>
      <c r="C42" s="66" t="n"/>
      <c r="D42" s="61" t="n"/>
      <c r="E42" s="61" t="n"/>
      <c r="F42" s="61" t="n"/>
      <c r="G42" s="62" t="n"/>
      <c r="I42" s="48" t="n"/>
      <c r="J42" s="48" t="n"/>
      <c r="K42" s="48" t="n"/>
      <c r="L42" s="48" t="n"/>
    </row>
    <row r="43" ht="16.5" customFormat="1" customHeight="1" s="48">
      <c r="A43" s="55" t="inlineStr">
        <is>
          <t xml:space="preserve">                     - 학원 홈페이지(모바일, PC) 결제 &gt; 담당멘토 문의</t>
        </is>
      </c>
      <c r="B43" s="66" t="n"/>
      <c r="C43" s="66" t="n"/>
      <c r="D43" s="61" t="n"/>
      <c r="E43" s="61" t="n"/>
      <c r="F43" s="61" t="n"/>
      <c r="G43" s="62" t="n"/>
      <c r="I43" s="48" t="n"/>
      <c r="J43" s="48" t="n"/>
      <c r="K43" s="48" t="n"/>
      <c r="L43" s="48" t="n"/>
    </row>
    <row r="44" customFormat="1" s="48">
      <c r="A44" s="55" t="inlineStr">
        <is>
          <t xml:space="preserve">      * 카드사별 무이자 할부 혜택 상이함</t>
        </is>
      </c>
      <c r="B44" s="67" t="n"/>
      <c r="C44" s="67" t="n"/>
      <c r="D44" s="61" t="n"/>
      <c r="E44" s="61" t="n"/>
      <c r="F44" s="61" t="n"/>
      <c r="G44" s="62" t="n"/>
      <c r="I44" s="48" t="n"/>
      <c r="J44" s="48" t="n"/>
      <c r="K44" s="48" t="n"/>
      <c r="L44" s="48" t="n"/>
    </row>
  </sheetData>
  <mergeCells count="52">
    <mergeCell ref="A25:C25"/>
    <mergeCell ref="F4:G4"/>
    <mergeCell ref="F11:G11"/>
    <mergeCell ref="B16:C16"/>
    <mergeCell ref="B7:C7"/>
    <mergeCell ref="F10:G10"/>
    <mergeCell ref="F16:G16"/>
    <mergeCell ref="D25:G25"/>
    <mergeCell ref="F19:G19"/>
    <mergeCell ref="D30:G30"/>
    <mergeCell ref="A27:C27"/>
    <mergeCell ref="B22:C22"/>
    <mergeCell ref="A21:C21"/>
    <mergeCell ref="D29:G29"/>
    <mergeCell ref="B18:C18"/>
    <mergeCell ref="A22:A24"/>
    <mergeCell ref="A26:C26"/>
    <mergeCell ref="F7:G7"/>
    <mergeCell ref="B12:C12"/>
    <mergeCell ref="F12:G12"/>
    <mergeCell ref="D26:G26"/>
    <mergeCell ref="F15:G15"/>
    <mergeCell ref="B11:C11"/>
    <mergeCell ref="A31:G31"/>
    <mergeCell ref="A8:A18"/>
    <mergeCell ref="F20:G20"/>
    <mergeCell ref="F18:G18"/>
    <mergeCell ref="B23:C23"/>
    <mergeCell ref="B14:C14"/>
    <mergeCell ref="B17:C17"/>
    <mergeCell ref="A29:C29"/>
    <mergeCell ref="B8:C8"/>
    <mergeCell ref="F17:G17"/>
    <mergeCell ref="F8:G8"/>
    <mergeCell ref="B13:C13"/>
    <mergeCell ref="A28:C28"/>
    <mergeCell ref="A1:G3"/>
    <mergeCell ref="E22:G22"/>
    <mergeCell ref="B10:C10"/>
    <mergeCell ref="A30:C30"/>
    <mergeCell ref="E21:G21"/>
    <mergeCell ref="D27:G27"/>
    <mergeCell ref="B9:C9"/>
    <mergeCell ref="F13:G13"/>
    <mergeCell ref="F9:G9"/>
    <mergeCell ref="E24:G24"/>
    <mergeCell ref="B24:C24"/>
    <mergeCell ref="B15:C15"/>
    <mergeCell ref="E23:G23"/>
    <mergeCell ref="F14:G14"/>
    <mergeCell ref="B32:F32"/>
    <mergeCell ref="D28:G28"/>
  </mergeCells>
  <pageMargins left="0.7" right="0.7" top="0.75" bottom="0.75" header="0.3" footer="0.3"/>
  <pageSetup orientation="portrait" paperSize="9" scale="8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L44"/>
  <sheetViews>
    <sheetView view="pageBreakPreview" zoomScaleNormal="100" zoomScaleSheetLayoutView="100" workbookViewId="0">
      <selection activeCell="B8" sqref="B8:G18"/>
    </sheetView>
  </sheetViews>
  <sheetFormatPr baseColWidth="8" defaultColWidth="8.88671875" defaultRowHeight="13.5"/>
  <cols>
    <col width="8.88671875" customWidth="1" style="48" min="1" max="1"/>
    <col width="29.21875" customWidth="1" style="48" min="2" max="2"/>
    <col width="14.5546875" customWidth="1" style="48" min="3" max="3"/>
    <col width="11.6640625" bestFit="1" customWidth="1" style="48" min="4" max="4"/>
    <col width="10.77734375" customWidth="1" style="48" min="5" max="5"/>
    <col width="8.109375" customWidth="1" style="48" min="6" max="6"/>
    <col width="10.5546875" customWidth="1" style="48" min="7" max="7"/>
    <col width="5.6640625" customWidth="1" style="48" min="8" max="8"/>
    <col width="21.6640625" bestFit="1" customWidth="1" style="48" min="9" max="9"/>
    <col width="19.44140625" bestFit="1" customWidth="1" style="48" min="10" max="10"/>
    <col width="20" bestFit="1" customWidth="1" style="48" min="11" max="11"/>
    <col width="19.44140625" bestFit="1" customWidth="1" style="48" min="12" max="12"/>
    <col width="8.88671875" customWidth="1" style="48" min="13" max="16384"/>
  </cols>
  <sheetData>
    <row r="1" ht="13.5" customHeight="1" s="155">
      <c r="A1" s="156" t="inlineStr">
        <is>
          <t>코리아 IT아카데미 교육과정 수강료 안내</t>
        </is>
      </c>
      <c r="B1" s="157" t="n"/>
      <c r="C1" s="157" t="n"/>
      <c r="D1" s="157" t="n"/>
      <c r="E1" s="157" t="n"/>
      <c r="F1" s="157" t="n"/>
      <c r="G1" s="158" t="n"/>
    </row>
    <row r="2" ht="13.5" customHeight="1" s="155">
      <c r="A2" s="159" t="n"/>
      <c r="G2" s="160" t="n"/>
    </row>
    <row r="3" ht="13.5" customHeight="1" s="155">
      <c r="A3" s="159" t="n"/>
      <c r="G3" s="160" t="n"/>
    </row>
    <row r="4" ht="27" customHeight="1" s="155">
      <c r="A4" s="79" t="n"/>
      <c r="B4" s="80" t="n"/>
      <c r="C4" s="76" t="n"/>
      <c r="D4" s="72" t="n"/>
      <c r="E4" s="73" t="n"/>
      <c r="F4" s="104" t="n"/>
      <c r="G4" s="160" t="n"/>
    </row>
    <row r="5" ht="27" customHeight="1" s="155">
      <c r="A5" s="79" t="n"/>
      <c r="B5" s="80" t="n"/>
      <c r="C5" s="82" t="inlineStr">
        <is>
          <t xml:space="preserve">상 담 일 자 : </t>
        </is>
      </c>
      <c r="D5" s="83">
        <f>TODAY()</f>
        <v/>
      </c>
      <c r="E5" s="84" t="inlineStr">
        <is>
          <t xml:space="preserve">상 담 자 : </t>
        </is>
      </c>
      <c r="F5" s="75" t="inlineStr">
        <is>
          <t>김동우 교육멘토</t>
        </is>
      </c>
      <c r="G5" s="78" t="n"/>
    </row>
    <row r="6" ht="19.5" customHeight="1" s="155">
      <c r="A6" s="74" t="inlineStr">
        <is>
          <t xml:space="preserve">■  과정 및 수강료                              </t>
        </is>
      </c>
      <c r="B6" s="75" t="n"/>
      <c r="C6" s="76" t="n"/>
      <c r="D6" s="77" t="n"/>
      <c r="E6" s="82" t="inlineStr">
        <is>
          <t xml:space="preserve">연 락 처 : </t>
        </is>
      </c>
      <c r="F6" s="75" t="inlineStr">
        <is>
          <t>042-369-5815</t>
        </is>
      </c>
      <c r="G6" s="81" t="n"/>
    </row>
    <row r="7" ht="19.5" customHeight="1" s="155">
      <c r="A7" s="50" t="inlineStr">
        <is>
          <t>과 정</t>
        </is>
      </c>
      <c r="B7" s="47" t="inlineStr">
        <is>
          <t>과목명</t>
        </is>
      </c>
      <c r="C7" s="161" t="n"/>
      <c r="D7" s="47" t="inlineStr">
        <is>
          <t>COURSE</t>
        </is>
      </c>
      <c r="E7" s="47" t="inlineStr">
        <is>
          <t>DAY</t>
        </is>
      </c>
      <c r="F7" s="162" t="inlineStr">
        <is>
          <t>수강료</t>
        </is>
      </c>
      <c r="G7" s="163" t="n"/>
      <c r="I7" s="164" t="n"/>
      <c r="J7" s="165" t="n"/>
      <c r="K7" s="51" t="n"/>
      <c r="L7" s="51" t="n"/>
    </row>
    <row r="8" ht="19.5" customHeight="1" s="155">
      <c r="A8" s="120" t="inlineStr">
        <is>
          <t>AI인공지능
빅데이터
전문가
정규과정</t>
        </is>
      </c>
      <c r="B8" s="166" t="inlineStr">
        <is>
          <t>파이썬 1 (기초)</t>
        </is>
      </c>
      <c r="C8" s="161" t="n"/>
      <c r="D8" s="167" t="n">
        <v>1</v>
      </c>
      <c r="E8" s="71" t="inlineStr">
        <is>
          <t>평일 / 주말</t>
        </is>
      </c>
      <c r="F8" s="168" t="n">
        <v>400000</v>
      </c>
      <c r="G8" s="163" t="n"/>
      <c r="I8" s="164" t="n"/>
      <c r="J8" s="165" t="n"/>
      <c r="K8" s="51" t="n"/>
      <c r="L8" s="51" t="n"/>
    </row>
    <row r="9" ht="19.5" customHeight="1" s="155">
      <c r="A9" s="169" t="n"/>
      <c r="B9" s="166" t="inlineStr">
        <is>
          <t>파이썬 2 (중급)</t>
        </is>
      </c>
      <c r="C9" s="161" t="n"/>
      <c r="D9" s="167" t="n">
        <v>1</v>
      </c>
      <c r="E9" s="71" t="inlineStr">
        <is>
          <t>평일 / 주말</t>
        </is>
      </c>
      <c r="F9" s="168" t="n">
        <v>400000</v>
      </c>
      <c r="G9" s="163" t="n"/>
      <c r="I9" s="164" t="n"/>
      <c r="J9" s="165" t="n"/>
      <c r="K9" s="51" t="n"/>
      <c r="L9" s="51" t="n"/>
    </row>
    <row r="10" ht="19.5" customFormat="1" customHeight="1" s="48">
      <c r="A10" s="169" t="n"/>
      <c r="B10" s="185" t="inlineStr">
        <is>
          <t>데이터 분석 1 (기초)</t>
        </is>
      </c>
      <c r="C10" s="161" t="n"/>
      <c r="D10" s="167" t="n">
        <v>1</v>
      </c>
      <c r="E10" s="71" t="inlineStr">
        <is>
          <t>주말</t>
        </is>
      </c>
      <c r="F10" s="168" t="n">
        <v>500000</v>
      </c>
      <c r="G10" s="163" t="n"/>
      <c r="I10" s="164" t="n"/>
      <c r="J10" s="165" t="n"/>
      <c r="K10" s="51" t="n"/>
      <c r="L10" s="51" t="n"/>
    </row>
    <row r="11" ht="19.5" customFormat="1" customHeight="1" s="48">
      <c r="A11" s="169" t="n"/>
      <c r="B11" s="185" t="inlineStr">
        <is>
          <t>데이터 분석 2 (심화)</t>
        </is>
      </c>
      <c r="C11" s="161" t="n"/>
      <c r="D11" s="167" t="n">
        <v>1</v>
      </c>
      <c r="E11" s="71" t="inlineStr">
        <is>
          <t>주말</t>
        </is>
      </c>
      <c r="F11" s="168" t="n">
        <v>500000</v>
      </c>
      <c r="G11" s="163" t="n"/>
      <c r="I11" s="164" t="n"/>
      <c r="J11" s="165" t="n"/>
      <c r="K11" s="51" t="n"/>
      <c r="L11" s="51" t="n"/>
    </row>
    <row r="12" ht="19.5" customFormat="1" customHeight="1" s="48">
      <c r="A12" s="169" t="n"/>
      <c r="B12" s="185" t="inlineStr">
        <is>
          <t>DBMS (SQL)</t>
        </is>
      </c>
      <c r="C12" s="161" t="n"/>
      <c r="D12" s="167" t="n">
        <v>1</v>
      </c>
      <c r="E12" s="71" t="inlineStr">
        <is>
          <t>평일 / 주말</t>
        </is>
      </c>
      <c r="F12" s="168" t="n">
        <v>500000</v>
      </c>
      <c r="G12" s="163" t="n"/>
      <c r="I12" s="164" t="n"/>
      <c r="J12" s="165" t="n"/>
      <c r="K12" s="51" t="n"/>
      <c r="L12" s="51" t="n"/>
    </row>
    <row r="13" ht="19.5" customFormat="1" customHeight="1" s="48">
      <c r="A13" s="169" t="n"/>
      <c r="B13" s="185" t="inlineStr">
        <is>
          <t>SQL-D (자격증)</t>
        </is>
      </c>
      <c r="C13" s="161" t="n"/>
      <c r="D13" s="167" t="n">
        <v>1</v>
      </c>
      <c r="E13" s="71" t="inlineStr">
        <is>
          <t>주말</t>
        </is>
      </c>
      <c r="F13" s="168" t="n">
        <v>500000</v>
      </c>
      <c r="G13" s="163" t="n"/>
      <c r="I13" s="164" t="n"/>
      <c r="J13" s="165" t="n"/>
      <c r="K13" s="51" t="n"/>
      <c r="L13" s="51" t="n"/>
    </row>
    <row r="14" ht="19.5" customFormat="1" customHeight="1" s="48">
      <c r="A14" s="169" t="n"/>
      <c r="B14" s="185" t="inlineStr">
        <is>
          <t>ADsP (자격증</t>
        </is>
      </c>
      <c r="C14" s="161" t="n"/>
      <c r="D14" s="167" t="n">
        <v>1</v>
      </c>
      <c r="E14" s="71" t="inlineStr">
        <is>
          <t>주말</t>
        </is>
      </c>
      <c r="F14" s="168" t="n">
        <v>500000</v>
      </c>
      <c r="G14" s="163" t="n"/>
      <c r="I14" s="164" t="n"/>
      <c r="J14" s="165" t="n"/>
      <c r="K14" s="51" t="n"/>
      <c r="L14" s="51" t="n"/>
    </row>
    <row r="15" ht="19.5" customHeight="1" s="155">
      <c r="A15" s="169" t="n"/>
      <c r="B15" s="166" t="inlineStr">
        <is>
          <t>AI 인공지능 빅데이터 1 (데이터 분석)</t>
        </is>
      </c>
      <c r="C15" s="161" t="n"/>
      <c r="D15" s="167" t="n">
        <v>1</v>
      </c>
      <c r="E15" s="71" t="inlineStr">
        <is>
          <t>평일</t>
        </is>
      </c>
      <c r="F15" s="168" t="n">
        <v>600000</v>
      </c>
      <c r="G15" s="163" t="n"/>
      <c r="I15" s="164" t="n"/>
      <c r="J15" s="165" t="n"/>
      <c r="K15" s="51" t="n"/>
      <c r="L15" s="51" t="n"/>
    </row>
    <row r="16" ht="19.5" customHeight="1" s="155">
      <c r="A16" s="169" t="n"/>
      <c r="B16" s="166" t="inlineStr">
        <is>
          <t>AI 인공지능 빅데이터 2 (머신 러닝)</t>
        </is>
      </c>
      <c r="C16" s="161" t="n"/>
      <c r="D16" s="167" t="n">
        <v>1</v>
      </c>
      <c r="E16" s="71" t="inlineStr">
        <is>
          <t>평일</t>
        </is>
      </c>
      <c r="F16" s="168" t="n">
        <v>600000</v>
      </c>
      <c r="G16" s="163" t="n"/>
      <c r="I16" s="164" t="n"/>
      <c r="J16" s="165" t="n"/>
      <c r="K16" s="51" t="n"/>
      <c r="L16" s="51" t="n"/>
    </row>
    <row r="17" ht="19.5" customHeight="1" s="155">
      <c r="A17" s="169" t="n"/>
      <c r="B17" s="166" t="inlineStr">
        <is>
          <t>AI 인공지능 빅데이터 3 (딥 러닝)</t>
        </is>
      </c>
      <c r="C17" s="161" t="n"/>
      <c r="D17" s="167" t="n">
        <v>1</v>
      </c>
      <c r="E17" s="71" t="inlineStr">
        <is>
          <t>평일</t>
        </is>
      </c>
      <c r="F17" s="168" t="n">
        <v>600000</v>
      </c>
      <c r="G17" s="163" t="n"/>
      <c r="I17" s="164" t="n"/>
      <c r="J17" s="165" t="n"/>
      <c r="K17" s="51" t="n"/>
      <c r="L17" s="51" t="n"/>
    </row>
    <row r="18" ht="19.5" customHeight="1" s="155">
      <c r="A18" s="169" t="n"/>
      <c r="B18" s="166" t="inlineStr">
        <is>
          <t>AI 인공지능 빅데이터 4 (Project)</t>
        </is>
      </c>
      <c r="C18" s="161" t="n"/>
      <c r="D18" s="167" t="n">
        <v>1</v>
      </c>
      <c r="E18" s="71" t="inlineStr">
        <is>
          <t>평일</t>
        </is>
      </c>
      <c r="F18" s="168" t="n">
        <v>600000</v>
      </c>
      <c r="G18" s="163" t="n"/>
      <c r="I18" s="48" t="n"/>
      <c r="J18" s="48" t="n"/>
      <c r="K18" s="48" t="n"/>
      <c r="L18" s="48" t="n"/>
    </row>
    <row r="19" ht="33.6" customHeight="1" s="155">
      <c r="A19" s="93" t="inlineStr">
        <is>
          <t>따즈아</t>
        </is>
      </c>
      <c r="B19" s="94" t="inlineStr">
        <is>
          <t>온라인강의</t>
        </is>
      </c>
      <c r="C19" s="95" t="n">
        <v>500000</v>
      </c>
      <c r="D19" s="170">
        <f>SUM(D8:D18)</f>
        <v/>
      </c>
      <c r="E19" s="87" t="inlineStr">
        <is>
          <t>원수강료</t>
        </is>
      </c>
      <c r="F19" s="171">
        <f>SUM(F8:G18)</f>
        <v/>
      </c>
      <c r="G19" s="172" t="n"/>
      <c r="I19" s="48" t="n"/>
      <c r="J19" s="48" t="n"/>
      <c r="K19" s="48" t="n"/>
      <c r="L19" s="48" t="n"/>
    </row>
    <row r="20" ht="19.5" customHeight="1" s="155">
      <c r="A20" s="49" t="inlineStr">
        <is>
          <t>■ 교육과정 할인내역</t>
        </is>
      </c>
      <c r="B20" s="90" t="n"/>
      <c r="C20" s="91" t="n"/>
      <c r="D20" s="56" t="n"/>
      <c r="E20" s="56" t="n"/>
      <c r="F20" s="173" t="n"/>
      <c r="G20" s="160" t="n"/>
      <c r="I20" s="48" t="n"/>
      <c r="J20" s="48" t="n"/>
      <c r="K20" s="48" t="n"/>
      <c r="L20" s="48" t="n"/>
    </row>
    <row r="21" ht="19.5" customHeight="1" s="155">
      <c r="A21" s="50" t="inlineStr">
        <is>
          <t>세부할인 내역</t>
        </is>
      </c>
      <c r="B21" s="174" t="n"/>
      <c r="C21" s="161" t="n"/>
      <c r="D21" s="47" t="inlineStr">
        <is>
          <t>할인율(%)</t>
        </is>
      </c>
      <c r="E21" s="175" t="inlineStr">
        <is>
          <t>할인금액</t>
        </is>
      </c>
      <c r="F21" s="174" t="n"/>
      <c r="G21" s="163" t="n"/>
    </row>
    <row r="22" ht="19.5" customHeight="1" s="155">
      <c r="A22" s="176" t="inlineStr">
        <is>
          <t>할인
내역</t>
        </is>
      </c>
      <c r="B22" s="189" t="inlineStr">
        <is>
          <t>패키지 진행시</t>
        </is>
      </c>
      <c r="C22" s="161" t="n"/>
      <c r="D22" s="85" t="n">
        <v>0.4034</v>
      </c>
      <c r="E22" s="177">
        <f>F19*D22</f>
        <v/>
      </c>
      <c r="F22" s="174" t="n"/>
      <c r="G22" s="163" t="n"/>
    </row>
    <row r="23" ht="19.5" customHeight="1" s="155">
      <c r="A23" s="169" t="n"/>
      <c r="B23" s="138" t="inlineStr">
        <is>
          <t>O월 이벤트할인 / 사전등록 추가할인 등</t>
        </is>
      </c>
      <c r="C23" s="174" t="n"/>
      <c r="D23" s="53" t="n"/>
      <c r="E23" s="178">
        <f>(F19*(1-D22)*D23)</f>
        <v/>
      </c>
      <c r="F23" s="174" t="n"/>
      <c r="G23" s="163" t="n"/>
      <c r="H23" s="48" t="n"/>
      <c r="I23" s="164" t="n"/>
      <c r="J23" s="165" t="n"/>
      <c r="K23" s="51" t="n"/>
      <c r="L23" s="51" t="n"/>
    </row>
    <row r="24" ht="19.5" customHeight="1" s="155">
      <c r="A24" s="179" t="n"/>
      <c r="B24" s="138" t="inlineStr">
        <is>
          <t>친구추천 할인 / 비전공자 할인 등</t>
        </is>
      </c>
      <c r="C24" s="174" t="n"/>
      <c r="D24" s="45" t="n"/>
      <c r="E24" s="177">
        <f>(F19*(1-D22)*(1-D23)*D24)</f>
        <v/>
      </c>
      <c r="F24" s="174" t="n"/>
      <c r="G24" s="163" t="n"/>
      <c r="H24" s="48" t="n"/>
      <c r="I24" s="164" t="n"/>
      <c r="J24" s="165" t="n"/>
      <c r="K24" s="51" t="n"/>
      <c r="L24" s="51" t="n"/>
    </row>
    <row r="25" ht="23.25" customHeight="1" s="155">
      <c r="A25" s="180" t="inlineStr">
        <is>
          <t xml:space="preserve">총 할인금액 (수강지원)  </t>
        </is>
      </c>
      <c r="B25" s="174" t="n"/>
      <c r="C25" s="161" t="n"/>
      <c r="D25" s="181">
        <f>ROUNDUP(SUM(E22:G24),-3)</f>
        <v/>
      </c>
      <c r="E25" s="174" t="n"/>
      <c r="F25" s="174" t="n"/>
      <c r="G25" s="163" t="n"/>
      <c r="H25" s="48" t="n"/>
      <c r="I25" s="48" t="n"/>
      <c r="J25" s="48" t="n"/>
      <c r="K25" s="48" t="n"/>
      <c r="L25" s="48" t="n"/>
    </row>
    <row r="26" ht="23.25" customHeight="1" s="155">
      <c r="A26" s="182" t="inlineStr">
        <is>
          <t xml:space="preserve">납부 해야할 수강료 (할인적용)  </t>
        </is>
      </c>
      <c r="B26" s="174" t="n"/>
      <c r="C26" s="161" t="n"/>
      <c r="D26" s="183">
        <f>F19-D25</f>
        <v/>
      </c>
      <c r="E26" s="174" t="n"/>
      <c r="F26" s="174" t="n"/>
      <c r="G26" s="163" t="n"/>
      <c r="H26" s="48" t="n"/>
      <c r="I26" s="48" t="n"/>
      <c r="J26" s="48" t="n"/>
      <c r="K26" s="48" t="n"/>
      <c r="L26" s="48" t="n"/>
    </row>
    <row r="27" ht="23.25" customFormat="1" customHeight="1" s="48">
      <c r="A27" s="182" t="inlineStr">
        <is>
          <t>총 등록금액</t>
        </is>
      </c>
      <c r="B27" s="174" t="n"/>
      <c r="C27" s="161" t="n"/>
      <c r="D27" s="183">
        <f>SUM(D26+C19)</f>
        <v/>
      </c>
      <c r="E27" s="174" t="n"/>
      <c r="F27" s="174" t="n"/>
      <c r="G27" s="163" t="n"/>
      <c r="H27" s="48" t="n"/>
    </row>
    <row r="28" ht="23.25" customFormat="1" customHeight="1" s="48">
      <c r="A28" s="182" t="inlineStr">
        <is>
          <t>3개월 할부 진행시</t>
        </is>
      </c>
      <c r="B28" s="174" t="n"/>
      <c r="C28" s="161" t="n"/>
      <c r="D28" s="184">
        <f>SUM(D27/3)</f>
        <v/>
      </c>
      <c r="E28" s="174" t="n"/>
      <c r="F28" s="174" t="n"/>
      <c r="G28" s="163" t="n"/>
      <c r="H28" s="48" t="n"/>
    </row>
    <row r="29" ht="23.25" customFormat="1" customHeight="1" s="48">
      <c r="A29" s="182" t="inlineStr">
        <is>
          <t>6개월 할부 진행시</t>
        </is>
      </c>
      <c r="B29" s="174" t="n"/>
      <c r="C29" s="161" t="n"/>
      <c r="D29" s="184">
        <f>SUM(D27/6)</f>
        <v/>
      </c>
      <c r="E29" s="174" t="n"/>
      <c r="F29" s="174" t="n"/>
      <c r="G29" s="163" t="n"/>
      <c r="H29" s="48" t="n"/>
    </row>
    <row r="30" ht="23.25" customFormat="1" customHeight="1" s="48">
      <c r="A30" s="182" t="inlineStr">
        <is>
          <t>1과목당 수강료</t>
        </is>
      </c>
      <c r="B30" s="174" t="n"/>
      <c r="C30" s="161" t="n"/>
      <c r="D30" s="184">
        <f>SUM(D26/D19)</f>
        <v/>
      </c>
      <c r="E30" s="174" t="n"/>
      <c r="F30" s="174" t="n"/>
      <c r="G30" s="163" t="n"/>
      <c r="H30" s="48" t="n"/>
    </row>
    <row r="31" ht="23.25" customFormat="1" customHeight="1" s="48">
      <c r="A31" s="190" t="inlineStr">
        <is>
          <t>★ 당일등록시 혜택 : 000 지원 ★</t>
        </is>
      </c>
      <c r="B31" s="174" t="n"/>
      <c r="C31" s="174" t="n"/>
      <c r="D31" s="174" t="n"/>
      <c r="E31" s="174" t="n"/>
      <c r="F31" s="174" t="n"/>
      <c r="G31" s="163" t="n"/>
      <c r="H31" s="48" t="n"/>
    </row>
    <row r="32" ht="16.5" customFormat="1" customHeight="1" s="48">
      <c r="A32" s="55" t="n"/>
      <c r="B32" s="119" t="n"/>
      <c r="G32" s="54" t="n"/>
      <c r="I32" s="52" t="n"/>
    </row>
    <row r="33" ht="16.5" customFormat="1" customHeight="1" s="48">
      <c r="A33" s="64" t="inlineStr">
        <is>
          <t>■ 안내사항</t>
        </is>
      </c>
      <c r="B33" s="119" t="n"/>
      <c r="C33" s="119" t="n"/>
      <c r="D33" s="119" t="n"/>
      <c r="E33" s="119" t="n"/>
      <c r="F33" s="119" t="n"/>
      <c r="G33" s="54" t="n"/>
      <c r="I33" s="52" t="n"/>
    </row>
    <row r="34" ht="16.5" customFormat="1" customHeight="1" s="48">
      <c r="A34" s="55" t="inlineStr">
        <is>
          <t xml:space="preserve">   1) 위 수강료는 학원내 게시되어 있는 수강료 기준이며, 교육청에 신고된 금액입니다.</t>
        </is>
      </c>
      <c r="B34" s="119" t="n"/>
      <c r="C34" s="119" t="n"/>
      <c r="D34" s="119" t="n"/>
      <c r="E34" s="119" t="n"/>
      <c r="F34" s="119" t="n"/>
      <c r="G34" s="54" t="n"/>
    </row>
    <row r="35" ht="16.5" customFormat="1" customHeight="1" s="48">
      <c r="A35" s="55" t="inlineStr">
        <is>
          <t xml:space="preserve">   2) 위 할인내역은 해당사항에 한해 적용되며, 할인내용에 해당될 시 증명서류를 증빙해야 할인 받을 수 있습니다.</t>
        </is>
      </c>
      <c r="B35" s="119" t="n"/>
      <c r="C35" s="119" t="n"/>
      <c r="D35" s="119" t="n"/>
      <c r="E35" s="119" t="n"/>
      <c r="F35" s="119" t="n"/>
      <c r="G35" s="54" t="n"/>
    </row>
    <row r="36" ht="16.5" customFormat="1" customHeight="1" s="48">
      <c r="A36" s="55" t="inlineStr">
        <is>
          <t xml:space="preserve">   3) 할인금액은 수강과목지원(무료)으로 진행됩니다.</t>
        </is>
      </c>
      <c r="B36" s="56" t="n"/>
      <c r="C36" s="56" t="n"/>
      <c r="D36" s="57" t="n"/>
      <c r="E36" s="57" t="n"/>
      <c r="F36" s="58" t="n"/>
      <c r="G36" s="59" t="n"/>
      <c r="I36" s="48" t="n"/>
      <c r="J36" s="48" t="n"/>
      <c r="K36" s="48" t="n"/>
      <c r="L36" s="48" t="n"/>
    </row>
    <row r="37" ht="16.5" customFormat="1" customHeight="1" s="48">
      <c r="A37" s="55" t="n"/>
      <c r="B37" s="56" t="n"/>
      <c r="C37" s="56" t="n"/>
      <c r="D37" s="57" t="n"/>
      <c r="E37" s="57" t="n"/>
      <c r="F37" s="58" t="n"/>
      <c r="G37" s="59" t="n"/>
      <c r="I37" s="48" t="n"/>
      <c r="J37" s="48" t="n"/>
      <c r="K37" s="48" t="n"/>
      <c r="L37" s="48" t="n"/>
    </row>
    <row r="38" ht="16.5" customFormat="1" customHeight="1" s="48">
      <c r="A38" s="64" t="inlineStr">
        <is>
          <t>■ 수강료 납부 안내</t>
        </is>
      </c>
      <c r="B38" s="60" t="n"/>
      <c r="C38" s="60" t="n"/>
      <c r="D38" s="61" t="n"/>
      <c r="E38" s="61" t="n"/>
      <c r="F38" s="61" t="n"/>
      <c r="G38" s="62" t="n"/>
      <c r="I38" s="48" t="n"/>
      <c r="J38" s="48" t="n"/>
      <c r="K38" s="48" t="n"/>
      <c r="L38" s="48" t="n"/>
    </row>
    <row r="39" ht="16.5" customFormat="1" customHeight="1" s="48">
      <c r="A39" s="55" t="inlineStr">
        <is>
          <t xml:space="preserve">    1) 현금수납 - 학원 안내접수처에서 접수 및 결제(현금영수증 발행)</t>
        </is>
      </c>
      <c r="B39" s="63" t="n"/>
      <c r="C39" s="63" t="n"/>
      <c r="D39" s="61" t="n"/>
      <c r="E39" s="61" t="n"/>
      <c r="F39" s="61" t="n"/>
      <c r="G39" s="62" t="n"/>
      <c r="I39" s="48" t="n"/>
      <c r="J39" s="48" t="n"/>
      <c r="K39" s="48" t="n"/>
      <c r="L39" s="48" t="n"/>
    </row>
    <row r="40" ht="16.5" customFormat="1" customHeight="1" s="48">
      <c r="A40" s="55" t="inlineStr">
        <is>
          <t xml:space="preserve">    2) 온라인입금(계좌이체) 결제(현금영수증 발행)</t>
        </is>
      </c>
      <c r="B40" s="63" t="n"/>
      <c r="C40" s="63" t="n"/>
      <c r="D40" s="61" t="n"/>
      <c r="E40" s="61" t="n"/>
      <c r="F40" s="61" t="n"/>
      <c r="G40" s="62" t="n"/>
      <c r="I40" s="48" t="n"/>
      <c r="J40" s="48" t="n"/>
      <c r="K40" s="48" t="n"/>
      <c r="L40" s="48" t="n"/>
    </row>
    <row r="41" ht="16.5" customFormat="1" customHeight="1" s="48">
      <c r="A41" s="64" t="inlineStr">
        <is>
          <t xml:space="preserve">           기업은행 064-166274-04-024 (주)코리아아이티아카데미대전 </t>
        </is>
      </c>
      <c r="B41" s="65" t="n"/>
      <c r="C41" s="65" t="n"/>
      <c r="D41" s="61" t="n"/>
      <c r="E41" s="61" t="n"/>
      <c r="F41" s="61" t="n"/>
      <c r="G41" s="62" t="n"/>
      <c r="I41" s="48" t="n"/>
      <c r="J41" s="48" t="n"/>
      <c r="K41" s="48" t="n"/>
      <c r="L41" s="48" t="n"/>
    </row>
    <row r="42" ht="16.5" customFormat="1" customHeight="1" s="48">
      <c r="A42" s="55" t="inlineStr">
        <is>
          <t xml:space="preserve">    3) 카드수납 - 학원 안내접수처에서 접수 및 결제 or 카드번호 결제(키인결제)</t>
        </is>
      </c>
      <c r="B42" s="66" t="n"/>
      <c r="C42" s="66" t="n"/>
      <c r="D42" s="61" t="n"/>
      <c r="E42" s="61" t="n"/>
      <c r="F42" s="61" t="n"/>
      <c r="G42" s="62" t="n"/>
      <c r="I42" s="48" t="n"/>
      <c r="J42" s="48" t="n"/>
      <c r="K42" s="48" t="n"/>
      <c r="L42" s="48" t="n"/>
    </row>
    <row r="43" ht="16.5" customFormat="1" customHeight="1" s="48">
      <c r="A43" s="55" t="inlineStr">
        <is>
          <t xml:space="preserve">                     - 학원 홈페이지(모바일, PC) 결제 &gt; 담당멘토 문의</t>
        </is>
      </c>
      <c r="B43" s="66" t="n"/>
      <c r="C43" s="66" t="n"/>
      <c r="D43" s="61" t="n"/>
      <c r="E43" s="61" t="n"/>
      <c r="F43" s="61" t="n"/>
      <c r="G43" s="62" t="n"/>
      <c r="I43" s="48" t="n"/>
      <c r="J43" s="48" t="n"/>
      <c r="K43" s="48" t="n"/>
      <c r="L43" s="48" t="n"/>
    </row>
    <row r="44" customFormat="1" s="48">
      <c r="A44" s="55" t="inlineStr">
        <is>
          <t xml:space="preserve">      * 카드사별 무이자 할부 혜택 상이함</t>
        </is>
      </c>
      <c r="B44" s="67" t="n"/>
      <c r="C44" s="67" t="n"/>
      <c r="D44" s="61" t="n"/>
      <c r="E44" s="61" t="n"/>
      <c r="F44" s="61" t="n"/>
      <c r="G44" s="62" t="n"/>
      <c r="I44" s="48" t="n"/>
      <c r="J44" s="48" t="n"/>
      <c r="K44" s="48" t="n"/>
      <c r="L44" s="48" t="n"/>
    </row>
  </sheetData>
  <mergeCells count="52">
    <mergeCell ref="A25:C25"/>
    <mergeCell ref="F4:G4"/>
    <mergeCell ref="F11:G11"/>
    <mergeCell ref="B16:C16"/>
    <mergeCell ref="B7:C7"/>
    <mergeCell ref="F10:G10"/>
    <mergeCell ref="F16:G16"/>
    <mergeCell ref="D25:G25"/>
    <mergeCell ref="F19:G19"/>
    <mergeCell ref="D30:G30"/>
    <mergeCell ref="A27:C27"/>
    <mergeCell ref="B22:C22"/>
    <mergeCell ref="A21:C21"/>
    <mergeCell ref="D29:G29"/>
    <mergeCell ref="B18:C18"/>
    <mergeCell ref="A22:A24"/>
    <mergeCell ref="A26:C26"/>
    <mergeCell ref="F7:G7"/>
    <mergeCell ref="B12:C12"/>
    <mergeCell ref="F12:G12"/>
    <mergeCell ref="D26:G26"/>
    <mergeCell ref="F15:G15"/>
    <mergeCell ref="B11:C11"/>
    <mergeCell ref="A31:G31"/>
    <mergeCell ref="A8:A18"/>
    <mergeCell ref="F20:G20"/>
    <mergeCell ref="F18:G18"/>
    <mergeCell ref="B23:C23"/>
    <mergeCell ref="B14:C14"/>
    <mergeCell ref="B17:C17"/>
    <mergeCell ref="A29:C29"/>
    <mergeCell ref="B8:C8"/>
    <mergeCell ref="F17:G17"/>
    <mergeCell ref="F8:G8"/>
    <mergeCell ref="B13:C13"/>
    <mergeCell ref="A28:C28"/>
    <mergeCell ref="A1:G3"/>
    <mergeCell ref="E22:G22"/>
    <mergeCell ref="B10:C10"/>
    <mergeCell ref="A30:C30"/>
    <mergeCell ref="F13:G13"/>
    <mergeCell ref="E21:G21"/>
    <mergeCell ref="B9:C9"/>
    <mergeCell ref="D27:G27"/>
    <mergeCell ref="F9:G9"/>
    <mergeCell ref="E24:G24"/>
    <mergeCell ref="B24:C24"/>
    <mergeCell ref="B15:C15"/>
    <mergeCell ref="E23:G23"/>
    <mergeCell ref="F14:G14"/>
    <mergeCell ref="B32:F32"/>
    <mergeCell ref="D28:G28"/>
  </mergeCells>
  <pageMargins left="0.7" right="0.7" top="0.75" bottom="0.75" header="0.3" footer="0.3"/>
  <pageSetup orientation="portrait" paperSize="9" scale="8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L53"/>
  <sheetViews>
    <sheetView view="pageBreakPreview" topLeftCell="A7" zoomScaleNormal="100" zoomScaleSheetLayoutView="100" workbookViewId="0">
      <selection activeCell="J35" sqref="J35"/>
    </sheetView>
  </sheetViews>
  <sheetFormatPr baseColWidth="8" defaultColWidth="8.88671875" defaultRowHeight="13.5"/>
  <cols>
    <col width="8.88671875" customWidth="1" style="48" min="1" max="1"/>
    <col width="29.21875" customWidth="1" style="48" min="2" max="2"/>
    <col width="14.5546875" customWidth="1" style="48" min="3" max="3"/>
    <col width="11.6640625" bestFit="1" customWidth="1" style="48" min="4" max="4"/>
    <col width="10.77734375" customWidth="1" style="48" min="5" max="5"/>
    <col width="8.109375" customWidth="1" style="48" min="6" max="6"/>
    <col width="10.5546875" customWidth="1" style="48" min="7" max="7"/>
    <col width="5.6640625" customWidth="1" style="48" min="8" max="8"/>
    <col width="21.6640625" bestFit="1" customWidth="1" style="48" min="9" max="9"/>
    <col width="19.44140625" bestFit="1" customWidth="1" style="48" min="10" max="10"/>
    <col width="20" bestFit="1" customWidth="1" style="48" min="11" max="11"/>
    <col width="19.44140625" bestFit="1" customWidth="1" style="48" min="12" max="12"/>
    <col width="8.88671875" customWidth="1" style="48" min="13" max="16384"/>
  </cols>
  <sheetData>
    <row r="1" ht="12.75" customHeight="1" s="155">
      <c r="A1" s="156" t="inlineStr">
        <is>
          <t>코리아 IT아카데미 교육과정 수강료 안내</t>
        </is>
      </c>
      <c r="B1" s="157" t="n"/>
      <c r="C1" s="157" t="n"/>
      <c r="D1" s="157" t="n"/>
      <c r="E1" s="157" t="n"/>
      <c r="F1" s="157" t="n"/>
      <c r="G1" s="158" t="n"/>
    </row>
    <row r="2" ht="12.75" customHeight="1" s="155">
      <c r="A2" s="159" t="n"/>
      <c r="G2" s="160" t="n"/>
    </row>
    <row r="3" ht="12.75" customHeight="1" s="155">
      <c r="A3" s="159" t="n"/>
      <c r="G3" s="160" t="n"/>
    </row>
    <row r="4" ht="27" customHeight="1" s="155">
      <c r="A4" s="79" t="n"/>
      <c r="B4" s="80" t="n"/>
      <c r="C4" s="76" t="n"/>
      <c r="D4" s="72" t="n"/>
      <c r="E4" s="73" t="n"/>
      <c r="F4" s="104" t="n"/>
      <c r="G4" s="160" t="n"/>
    </row>
    <row r="5" ht="27" customHeight="1" s="155">
      <c r="A5" s="79" t="n"/>
      <c r="B5" s="80" t="n"/>
      <c r="C5" s="82" t="inlineStr">
        <is>
          <t xml:space="preserve">상 담 일 자 : </t>
        </is>
      </c>
      <c r="D5" s="83">
        <f>TODAY()</f>
        <v/>
      </c>
      <c r="E5" s="84" t="inlineStr">
        <is>
          <t xml:space="preserve">상 담 자 : </t>
        </is>
      </c>
      <c r="F5" s="75" t="inlineStr">
        <is>
          <t>이소연 교육멘토</t>
        </is>
      </c>
      <c r="G5" s="78" t="n"/>
    </row>
    <row r="6" ht="19.5" customHeight="1" s="155">
      <c r="A6" s="74" t="inlineStr">
        <is>
          <t xml:space="preserve">■  과정 및 수강료                              </t>
        </is>
      </c>
      <c r="B6" s="75" t="n"/>
      <c r="C6" s="76" t="n"/>
      <c r="D6" s="77" t="n"/>
      <c r="E6" s="82" t="inlineStr">
        <is>
          <t xml:space="preserve">연 락 처 : </t>
        </is>
      </c>
      <c r="F6" s="75" t="inlineStr">
        <is>
          <t>042-369-5817</t>
        </is>
      </c>
      <c r="G6" s="81" t="n"/>
    </row>
    <row r="7" ht="19.5" customHeight="1" s="155">
      <c r="A7" s="50" t="inlineStr">
        <is>
          <t>과 정</t>
        </is>
      </c>
      <c r="B7" s="47" t="inlineStr">
        <is>
          <t>과목명</t>
        </is>
      </c>
      <c r="C7" s="161" t="n"/>
      <c r="D7" s="47" t="inlineStr">
        <is>
          <t>COURSE</t>
        </is>
      </c>
      <c r="E7" s="47" t="inlineStr">
        <is>
          <t>DAY</t>
        </is>
      </c>
      <c r="F7" s="162" t="inlineStr">
        <is>
          <t>수강료</t>
        </is>
      </c>
      <c r="G7" s="163" t="n"/>
      <c r="I7" s="164" t="n"/>
      <c r="J7" s="165" t="n"/>
      <c r="K7" s="51" t="n"/>
      <c r="L7" s="51" t="n"/>
    </row>
    <row r="8" ht="17.25" customHeight="1" s="155">
      <c r="A8" s="120" t="inlineStr">
        <is>
          <t>정보보안
전문가
정규과정</t>
        </is>
      </c>
      <c r="B8" s="166" t="inlineStr">
        <is>
          <t>파이썬 1 (기초)</t>
        </is>
      </c>
      <c r="C8" s="161" t="n"/>
      <c r="D8" s="167" t="n">
        <v>1</v>
      </c>
      <c r="E8" s="71" t="inlineStr">
        <is>
          <t>평일 / 주말</t>
        </is>
      </c>
      <c r="F8" s="168" t="n">
        <v>400000</v>
      </c>
      <c r="G8" s="163" t="n"/>
      <c r="I8" s="164" t="n"/>
      <c r="J8" s="165" t="n"/>
      <c r="K8" s="51" t="n"/>
      <c r="L8" s="51" t="n"/>
    </row>
    <row r="9" ht="17.25" customHeight="1" s="155">
      <c r="A9" s="169" t="n"/>
      <c r="B9" s="166" t="inlineStr">
        <is>
          <t>파이썬 2 (중급)</t>
        </is>
      </c>
      <c r="C9" s="161" t="n"/>
      <c r="D9" s="167" t="n">
        <v>1</v>
      </c>
      <c r="E9" s="71" t="inlineStr">
        <is>
          <t>평일 / 주말</t>
        </is>
      </c>
      <c r="F9" s="168" t="n">
        <v>400000</v>
      </c>
      <c r="G9" s="163" t="n"/>
      <c r="I9" s="164" t="n"/>
      <c r="J9" s="165" t="n"/>
      <c r="K9" s="51" t="n"/>
      <c r="L9" s="51" t="n"/>
    </row>
    <row r="10" ht="17.25" customHeight="1" s="155">
      <c r="A10" s="169" t="n"/>
      <c r="B10" s="166" t="inlineStr">
        <is>
          <t>C언어 1 (기초)</t>
        </is>
      </c>
      <c r="C10" s="161" t="n"/>
      <c r="D10" s="167" t="n">
        <v>1</v>
      </c>
      <c r="E10" s="71" t="inlineStr">
        <is>
          <t>평일 / 주말</t>
        </is>
      </c>
      <c r="F10" s="168" t="n">
        <v>400000</v>
      </c>
      <c r="G10" s="163" t="n"/>
      <c r="I10" s="164" t="n"/>
      <c r="J10" s="165" t="n"/>
      <c r="K10" s="51" t="n"/>
      <c r="L10" s="51" t="n"/>
    </row>
    <row r="11" ht="17.25" customHeight="1" s="155">
      <c r="A11" s="169" t="n"/>
      <c r="B11" s="166" t="inlineStr">
        <is>
          <t>C언어 2 (중급)</t>
        </is>
      </c>
      <c r="C11" s="161" t="n"/>
      <c r="D11" s="167" t="n">
        <v>1</v>
      </c>
      <c r="E11" s="71" t="inlineStr">
        <is>
          <t>평일 / 주말</t>
        </is>
      </c>
      <c r="F11" s="168" t="n">
        <v>400000</v>
      </c>
      <c r="G11" s="163" t="n"/>
      <c r="I11" s="48" t="n"/>
      <c r="J11" s="48" t="n"/>
      <c r="K11" s="48" t="n"/>
      <c r="L11" s="48" t="n"/>
    </row>
    <row r="12" ht="17.25" customHeight="1" s="155">
      <c r="A12" s="169" t="n"/>
      <c r="B12" s="166" t="inlineStr">
        <is>
          <t>자바 1 (기초)</t>
        </is>
      </c>
      <c r="C12" s="161" t="n"/>
      <c r="D12" s="167" t="n">
        <v>1</v>
      </c>
      <c r="E12" s="71" t="inlineStr">
        <is>
          <t>평일 / 주말</t>
        </is>
      </c>
      <c r="F12" s="168" t="n">
        <v>400000</v>
      </c>
      <c r="G12" s="163" t="n"/>
      <c r="I12" s="48" t="n"/>
      <c r="J12" s="48" t="n"/>
      <c r="K12" s="48" t="n"/>
      <c r="L12" s="48" t="n"/>
    </row>
    <row r="13" ht="17.25" customHeight="1" s="155">
      <c r="A13" s="169" t="n"/>
      <c r="B13" s="166" t="inlineStr">
        <is>
          <t>자바 2 (중급)</t>
        </is>
      </c>
      <c r="C13" s="161" t="n"/>
      <c r="D13" s="167" t="n">
        <v>1</v>
      </c>
      <c r="E13" s="71" t="inlineStr">
        <is>
          <t>평일 / 주말</t>
        </is>
      </c>
      <c r="F13" s="168" t="n">
        <v>400000</v>
      </c>
      <c r="G13" s="163" t="n"/>
      <c r="I13" s="48" t="n"/>
      <c r="J13" s="48" t="n"/>
      <c r="K13" s="48" t="n"/>
      <c r="L13" s="48" t="n"/>
    </row>
    <row r="14" ht="17.25" customHeight="1" s="155">
      <c r="A14" s="169" t="n"/>
      <c r="B14" s="166" t="inlineStr">
        <is>
          <t>DBMS (SQL)</t>
        </is>
      </c>
      <c r="C14" s="161" t="n"/>
      <c r="D14" s="167" t="n">
        <v>1</v>
      </c>
      <c r="E14" s="71" t="inlineStr">
        <is>
          <t>평일 / 주말</t>
        </is>
      </c>
      <c r="F14" s="168" t="n">
        <v>500000</v>
      </c>
      <c r="G14" s="163" t="n"/>
      <c r="I14" s="48" t="n"/>
      <c r="J14" s="48" t="n"/>
      <c r="K14" s="48" t="n"/>
      <c r="L14" s="48" t="n"/>
    </row>
    <row r="15" ht="17.25" customHeight="1" s="155">
      <c r="A15" s="169" t="n"/>
      <c r="B15" s="166" t="inlineStr">
        <is>
          <t>리눅스 1</t>
        </is>
      </c>
      <c r="C15" s="161" t="n"/>
      <c r="D15" s="167" t="n">
        <v>1</v>
      </c>
      <c r="E15" s="71" t="inlineStr">
        <is>
          <t>평일 / 주말</t>
        </is>
      </c>
      <c r="F15" s="168" t="n">
        <v>500000</v>
      </c>
      <c r="G15" s="163" t="n"/>
      <c r="I15" s="48" t="n"/>
      <c r="J15" s="48" t="n"/>
      <c r="K15" s="48" t="n"/>
      <c r="L15" s="48" t="n"/>
    </row>
    <row r="16" ht="17.25" customHeight="1" s="155">
      <c r="A16" s="169" t="n"/>
      <c r="B16" s="191" t="inlineStr">
        <is>
          <t>리눅스 2</t>
        </is>
      </c>
      <c r="C16" s="192" t="n"/>
      <c r="D16" s="167" t="n">
        <v>1</v>
      </c>
      <c r="E16" s="71" t="inlineStr">
        <is>
          <t>평일 / 주말</t>
        </is>
      </c>
      <c r="F16" s="168" t="n">
        <v>500000</v>
      </c>
      <c r="G16" s="163" t="n"/>
      <c r="I16" s="48" t="n"/>
      <c r="J16" s="48" t="n"/>
      <c r="K16" s="48" t="n"/>
      <c r="L16" s="48" t="n"/>
    </row>
    <row r="17" ht="17.25" customHeight="1" s="155">
      <c r="A17" s="169" t="n"/>
      <c r="B17" s="191" t="inlineStr">
        <is>
          <t>정보보안 1 (네트워크보안 1)</t>
        </is>
      </c>
      <c r="C17" s="192" t="n"/>
      <c r="D17" s="167" t="n">
        <v>1</v>
      </c>
      <c r="E17" s="71" t="inlineStr">
        <is>
          <t>평일</t>
        </is>
      </c>
      <c r="F17" s="168" t="n">
        <v>600000</v>
      </c>
      <c r="G17" s="163" t="n"/>
      <c r="I17" s="164" t="n"/>
      <c r="J17" s="165" t="n"/>
      <c r="K17" s="51" t="n"/>
      <c r="L17" s="51" t="n"/>
    </row>
    <row r="18" ht="17.25" customHeight="1" s="155">
      <c r="A18" s="169" t="n"/>
      <c r="B18" s="191" t="inlineStr">
        <is>
          <t>정보보안 2 (네트워크보안 2)</t>
        </is>
      </c>
      <c r="C18" s="192" t="n"/>
      <c r="D18" s="167" t="n">
        <v>1</v>
      </c>
      <c r="E18" s="71" t="inlineStr">
        <is>
          <t>평일</t>
        </is>
      </c>
      <c r="F18" s="168" t="n">
        <v>600000</v>
      </c>
      <c r="G18" s="163" t="n"/>
      <c r="I18" s="164" t="n"/>
      <c r="J18" s="165" t="n"/>
      <c r="K18" s="51" t="n"/>
      <c r="L18" s="51" t="n"/>
    </row>
    <row r="19" ht="17.25" customHeight="1" s="155">
      <c r="A19" s="169" t="n"/>
      <c r="B19" s="166" t="inlineStr">
        <is>
          <t>정보보안 3 (네트워크보안 3)</t>
        </is>
      </c>
      <c r="C19" s="161" t="n"/>
      <c r="D19" s="167" t="n">
        <v>1</v>
      </c>
      <c r="E19" s="71" t="inlineStr">
        <is>
          <t>평일</t>
        </is>
      </c>
      <c r="F19" s="168" t="n">
        <v>800000</v>
      </c>
      <c r="G19" s="163" t="n"/>
      <c r="I19" s="164" t="n"/>
      <c r="J19" s="165" t="n"/>
      <c r="K19" s="51" t="n"/>
      <c r="L19" s="51" t="n"/>
    </row>
    <row r="20" ht="17.25" customHeight="1" s="155">
      <c r="A20" s="169" t="n"/>
      <c r="B20" s="166" t="inlineStr">
        <is>
          <t>정보보안 4 (시스템보안 1)</t>
        </is>
      </c>
      <c r="C20" s="161" t="n"/>
      <c r="D20" s="167" t="n">
        <v>1</v>
      </c>
      <c r="E20" s="71" t="inlineStr">
        <is>
          <t>평일</t>
        </is>
      </c>
      <c r="F20" s="168" t="n">
        <v>600000</v>
      </c>
      <c r="G20" s="163" t="n"/>
      <c r="I20" s="164" t="n"/>
      <c r="J20" s="165" t="n"/>
      <c r="K20" s="51" t="n"/>
      <c r="L20" s="51" t="n"/>
    </row>
    <row r="21" ht="17.25" customHeight="1" s="155">
      <c r="A21" s="169" t="n"/>
      <c r="B21" s="191" t="inlineStr">
        <is>
          <t>정보보안 5 (시스템보안 2)</t>
        </is>
      </c>
      <c r="C21" s="192" t="n"/>
      <c r="D21" s="167" t="n">
        <v>1</v>
      </c>
      <c r="E21" s="71" t="inlineStr">
        <is>
          <t>평일</t>
        </is>
      </c>
      <c r="F21" s="168" t="n">
        <v>600000</v>
      </c>
      <c r="G21" s="163" t="n"/>
      <c r="I21" s="164" t="n"/>
      <c r="J21" s="165" t="n"/>
      <c r="K21" s="51" t="n"/>
      <c r="L21" s="51" t="n"/>
    </row>
    <row r="22" ht="17.25" customHeight="1" s="155">
      <c r="A22" s="169" t="n"/>
      <c r="B22" s="191" t="inlineStr">
        <is>
          <t>정보보안 6 (시스템보안 3)</t>
        </is>
      </c>
      <c r="C22" s="192" t="n"/>
      <c r="D22" s="167" t="n">
        <v>1</v>
      </c>
      <c r="E22" s="71" t="inlineStr">
        <is>
          <t>평일</t>
        </is>
      </c>
      <c r="F22" s="168" t="n">
        <v>800000</v>
      </c>
      <c r="G22" s="163" t="n"/>
      <c r="I22" s="164" t="n"/>
      <c r="J22" s="165" t="n"/>
      <c r="K22" s="51" t="n"/>
      <c r="L22" s="51" t="n"/>
    </row>
    <row r="23" ht="17.25" customHeight="1" s="155">
      <c r="A23" s="169" t="n"/>
      <c r="B23" s="191" t="inlineStr">
        <is>
          <t>정보보안 7 (웹보안 1)</t>
        </is>
      </c>
      <c r="C23" s="192" t="n"/>
      <c r="D23" s="167" t="n">
        <v>1</v>
      </c>
      <c r="E23" s="71" t="inlineStr">
        <is>
          <t>평일</t>
        </is>
      </c>
      <c r="F23" s="168" t="n">
        <v>600000</v>
      </c>
      <c r="G23" s="163" t="n"/>
      <c r="I23" s="164" t="n"/>
      <c r="J23" s="165" t="n"/>
      <c r="K23" s="51" t="n"/>
      <c r="L23" s="51" t="n"/>
    </row>
    <row r="24" ht="17.25" customHeight="1" s="155">
      <c r="A24" s="169" t="n"/>
      <c r="B24" s="191" t="inlineStr">
        <is>
          <t>정보보안 8 (웹보안 2)</t>
        </is>
      </c>
      <c r="C24" s="192" t="n"/>
      <c r="D24" s="167" t="n">
        <v>1</v>
      </c>
      <c r="E24" s="71" t="inlineStr">
        <is>
          <t>평일</t>
        </is>
      </c>
      <c r="F24" s="168" t="n">
        <v>600000</v>
      </c>
      <c r="G24" s="163" t="n"/>
      <c r="I24" s="164" t="n"/>
      <c r="J24" s="165" t="n"/>
      <c r="K24" s="51" t="n"/>
      <c r="L24" s="51" t="n"/>
    </row>
    <row r="25" ht="17.25" customHeight="1" s="155">
      <c r="A25" s="169" t="n"/>
      <c r="B25" s="191" t="inlineStr">
        <is>
          <t>정보보안 9 (웹보안 3)</t>
        </is>
      </c>
      <c r="C25" s="192" t="n"/>
      <c r="D25" s="167" t="n">
        <v>1</v>
      </c>
      <c r="E25" s="71" t="inlineStr">
        <is>
          <t>평일</t>
        </is>
      </c>
      <c r="F25" s="168" t="n">
        <v>800000</v>
      </c>
      <c r="G25" s="163" t="n"/>
      <c r="I25" s="164" t="n"/>
      <c r="J25" s="165" t="n"/>
      <c r="K25" s="51" t="n"/>
      <c r="L25" s="51" t="n"/>
    </row>
    <row r="26" ht="17.25" customHeight="1" s="155">
      <c r="A26" s="169" t="n"/>
      <c r="B26" s="166" t="inlineStr">
        <is>
          <t>CCNA 1 (자격증)</t>
        </is>
      </c>
      <c r="C26" s="161" t="n"/>
      <c r="D26" s="167" t="n">
        <v>1</v>
      </c>
      <c r="E26" s="71" t="inlineStr">
        <is>
          <t>주말</t>
        </is>
      </c>
      <c r="F26" s="168" t="n">
        <v>500000</v>
      </c>
      <c r="G26" s="163" t="n"/>
      <c r="I26" s="164" t="n"/>
      <c r="J26" s="165" t="n"/>
      <c r="K26" s="51" t="n"/>
      <c r="L26" s="51" t="n"/>
    </row>
    <row r="27" ht="17.25" customHeight="1" s="155">
      <c r="A27" s="169" t="n"/>
      <c r="B27" s="166" t="inlineStr">
        <is>
          <t>CCNA 2 (자격증)</t>
        </is>
      </c>
      <c r="C27" s="161" t="n"/>
      <c r="D27" s="167" t="n">
        <v>1</v>
      </c>
      <c r="E27" s="71" t="inlineStr">
        <is>
          <t>주말</t>
        </is>
      </c>
      <c r="F27" s="186" t="n">
        <v>500000</v>
      </c>
      <c r="G27" s="187" t="n"/>
      <c r="I27" s="164" t="n"/>
      <c r="J27" s="165" t="n"/>
      <c r="K27" s="51" t="n"/>
      <c r="L27" s="51" t="n"/>
    </row>
    <row r="28" ht="21.75" customHeight="1" s="155">
      <c r="A28" s="93" t="inlineStr">
        <is>
          <t>따즈아</t>
        </is>
      </c>
      <c r="B28" s="94" t="inlineStr">
        <is>
          <t>온라인강의</t>
        </is>
      </c>
      <c r="C28" s="95" t="n">
        <v>0</v>
      </c>
      <c r="D28" s="170">
        <f>SUM(D8:D27)</f>
        <v/>
      </c>
      <c r="E28" s="87" t="inlineStr">
        <is>
          <t>원수강료</t>
        </is>
      </c>
      <c r="F28" s="171">
        <f>SUM(F8:G27)</f>
        <v/>
      </c>
      <c r="G28" s="172" t="n"/>
      <c r="I28" s="48" t="n"/>
      <c r="J28" s="48" t="n"/>
      <c r="K28" s="48" t="n"/>
      <c r="L28" s="48" t="n"/>
    </row>
    <row r="29" ht="19.5" customHeight="1" s="155">
      <c r="A29" s="49" t="inlineStr">
        <is>
          <t>■ 교육과정 할인내역</t>
        </is>
      </c>
      <c r="B29" s="90" t="n"/>
      <c r="C29" s="91" t="n"/>
      <c r="D29" s="56" t="n"/>
      <c r="E29" s="56" t="n"/>
      <c r="F29" s="173" t="n"/>
      <c r="G29" s="160" t="n"/>
      <c r="I29" s="48" t="n"/>
      <c r="J29" s="48" t="n"/>
      <c r="K29" s="48" t="n"/>
      <c r="L29" s="48" t="n"/>
    </row>
    <row r="30" ht="18" customHeight="1" s="155">
      <c r="A30" s="50" t="inlineStr">
        <is>
          <t>세부할인 내역</t>
        </is>
      </c>
      <c r="B30" s="174" t="n"/>
      <c r="C30" s="161" t="n"/>
      <c r="D30" s="47" t="inlineStr">
        <is>
          <t>할인율(%)</t>
        </is>
      </c>
      <c r="E30" s="175" t="inlineStr">
        <is>
          <t>할인금액</t>
        </is>
      </c>
      <c r="F30" s="174" t="n"/>
      <c r="G30" s="163" t="n"/>
    </row>
    <row r="31" ht="18" customHeight="1" s="155">
      <c r="A31" s="176" t="inlineStr">
        <is>
          <t>할인
내역</t>
        </is>
      </c>
      <c r="B31" s="189" t="inlineStr">
        <is>
          <t>기초프로그래밍 패키지 할인</t>
        </is>
      </c>
      <c r="C31" s="161" t="n"/>
      <c r="D31" s="85" t="n">
        <v>0.2</v>
      </c>
      <c r="E31" s="177">
        <f>F28*D31</f>
        <v/>
      </c>
      <c r="F31" s="174" t="n"/>
      <c r="G31" s="163" t="n"/>
    </row>
    <row r="32" ht="18" customHeight="1" s="155">
      <c r="A32" s="169" t="n"/>
      <c r="B32" s="138" t="inlineStr">
        <is>
          <t>O월 이벤트할인 / 사전등록 추가할인 등</t>
        </is>
      </c>
      <c r="C32" s="174" t="n"/>
      <c r="D32" s="53" t="n">
        <v>0.2</v>
      </c>
      <c r="E32" s="178">
        <f>(F28*(1-D31)*D32)</f>
        <v/>
      </c>
      <c r="F32" s="174" t="n"/>
      <c r="G32" s="163" t="n"/>
      <c r="H32" s="48" t="n"/>
      <c r="I32" s="164" t="n"/>
      <c r="J32" s="165" t="n"/>
      <c r="K32" s="51" t="n"/>
      <c r="L32" s="51" t="n"/>
    </row>
    <row r="33" ht="18" customHeight="1" s="155">
      <c r="A33" s="179" t="n"/>
      <c r="B33" s="138" t="inlineStr">
        <is>
          <t>친구추천 할인 / 비전공자 할인 등</t>
        </is>
      </c>
      <c r="C33" s="174" t="n"/>
      <c r="D33" s="45" t="n">
        <v>0.2</v>
      </c>
      <c r="E33" s="178">
        <f>(F28*(1-D31)*(1-D32)*D33)</f>
        <v/>
      </c>
      <c r="F33" s="174" t="n"/>
      <c r="G33" s="163" t="n"/>
      <c r="H33" s="48" t="n"/>
      <c r="I33" s="164" t="n"/>
      <c r="J33" s="165" t="n"/>
      <c r="K33" s="51" t="n"/>
      <c r="L33" s="51" t="n"/>
    </row>
    <row r="34" ht="21" customHeight="1" s="155">
      <c r="A34" s="180" t="inlineStr">
        <is>
          <t xml:space="preserve">총 할인금액 (수강지원)  </t>
        </is>
      </c>
      <c r="B34" s="174" t="n"/>
      <c r="C34" s="161" t="n"/>
      <c r="D34" s="181">
        <f>ROUNDUP(SUM(E31:G33),-3)</f>
        <v/>
      </c>
      <c r="E34" s="174" t="n"/>
      <c r="F34" s="174" t="n"/>
      <c r="G34" s="163" t="n"/>
      <c r="H34" s="48" t="n"/>
      <c r="I34" s="48" t="n"/>
      <c r="J34" s="48" t="n"/>
      <c r="K34" s="48" t="n"/>
      <c r="L34" s="48" t="n"/>
    </row>
    <row r="35" ht="21" customHeight="1" s="155">
      <c r="A35" s="182" t="inlineStr">
        <is>
          <t xml:space="preserve">납부 해야할 수강료 (할인적용)  </t>
        </is>
      </c>
      <c r="B35" s="174" t="n"/>
      <c r="C35" s="161" t="n"/>
      <c r="D35" s="183">
        <f>F28-D34</f>
        <v/>
      </c>
      <c r="E35" s="174" t="n"/>
      <c r="F35" s="174" t="n"/>
      <c r="G35" s="163" t="n"/>
      <c r="H35" s="48" t="n"/>
      <c r="I35" s="48" t="n"/>
      <c r="J35" s="48" t="n"/>
      <c r="K35" s="48" t="n"/>
      <c r="L35" s="48" t="n"/>
    </row>
    <row r="36" ht="23.25" customFormat="1" customHeight="1" s="48">
      <c r="A36" s="182" t="inlineStr">
        <is>
          <t>총 등록금액</t>
        </is>
      </c>
      <c r="B36" s="174" t="n"/>
      <c r="C36" s="161" t="n"/>
      <c r="D36" s="183">
        <f>SUM(D35+C28)</f>
        <v/>
      </c>
      <c r="E36" s="174" t="n"/>
      <c r="F36" s="174" t="n"/>
      <c r="G36" s="163" t="n"/>
      <c r="H36" s="48" t="n"/>
    </row>
    <row r="37" ht="23.25" customFormat="1" customHeight="1" s="48">
      <c r="A37" s="182" t="inlineStr">
        <is>
          <t>3개월 할부 진행시</t>
        </is>
      </c>
      <c r="B37" s="174" t="n"/>
      <c r="C37" s="161" t="n"/>
      <c r="D37" s="184">
        <f>SUM(D36/3)</f>
        <v/>
      </c>
      <c r="E37" s="174" t="n"/>
      <c r="F37" s="174" t="n"/>
      <c r="G37" s="163" t="n"/>
      <c r="H37" s="48" t="n"/>
    </row>
    <row r="38" ht="23.25" customFormat="1" customHeight="1" s="48">
      <c r="A38" s="182" t="inlineStr">
        <is>
          <t>6개월 할부 진행시</t>
        </is>
      </c>
      <c r="B38" s="174" t="n"/>
      <c r="C38" s="161" t="n"/>
      <c r="D38" s="184">
        <f>SUM(D36/6)</f>
        <v/>
      </c>
      <c r="E38" s="174" t="n"/>
      <c r="F38" s="174" t="n"/>
      <c r="G38" s="163" t="n"/>
      <c r="H38" s="48" t="n"/>
    </row>
    <row r="39" ht="23.25" customFormat="1" customHeight="1" s="48">
      <c r="A39" s="182" t="inlineStr">
        <is>
          <t>1과목당 수강료</t>
        </is>
      </c>
      <c r="B39" s="174" t="n"/>
      <c r="C39" s="161" t="n"/>
      <c r="D39" s="184">
        <f>SUM(D35/D28)</f>
        <v/>
      </c>
      <c r="E39" s="174" t="n"/>
      <c r="F39" s="174" t="n"/>
      <c r="G39" s="163" t="n"/>
      <c r="H39" s="48" t="n"/>
    </row>
    <row r="40" ht="23.25" customFormat="1" customHeight="1" s="48">
      <c r="A40" s="190" t="inlineStr">
        <is>
          <t>★ 당일등록시 혜택 : 000 지원 ★</t>
        </is>
      </c>
      <c r="B40" s="174" t="n"/>
      <c r="C40" s="174" t="n"/>
      <c r="D40" s="174" t="n"/>
      <c r="E40" s="174" t="n"/>
      <c r="F40" s="174" t="n"/>
      <c r="G40" s="163" t="n"/>
      <c r="H40" s="48" t="n"/>
    </row>
    <row r="41" ht="16.5" customFormat="1" customHeight="1" s="48">
      <c r="A41" s="55" t="n"/>
      <c r="B41" s="119" t="n"/>
      <c r="G41" s="54" t="n"/>
      <c r="I41" s="52" t="n"/>
    </row>
    <row r="42" ht="16.5" customFormat="1" customHeight="1" s="48">
      <c r="A42" s="64" t="inlineStr">
        <is>
          <t>■ 안내사항</t>
        </is>
      </c>
      <c r="B42" s="119" t="n"/>
      <c r="C42" s="119" t="n"/>
      <c r="D42" s="119" t="n"/>
      <c r="E42" s="119" t="n"/>
      <c r="F42" s="119" t="n"/>
      <c r="G42" s="54" t="n"/>
      <c r="I42" s="52" t="n"/>
    </row>
    <row r="43" ht="16.5" customFormat="1" customHeight="1" s="48">
      <c r="A43" s="55" t="inlineStr">
        <is>
          <t xml:space="preserve">   1) 위 수강료는 학원내 게시되어 있는 수강료 기준이며, 교육청에 신고된 금액입니다.</t>
        </is>
      </c>
      <c r="B43" s="119" t="n"/>
      <c r="C43" s="119" t="n"/>
      <c r="D43" s="119" t="n"/>
      <c r="E43" s="119" t="n"/>
      <c r="F43" s="119" t="n"/>
      <c r="G43" s="54" t="n"/>
    </row>
    <row r="44" ht="16.5" customFormat="1" customHeight="1" s="48">
      <c r="A44" s="55" t="inlineStr">
        <is>
          <t xml:space="preserve">   2) 위 할인내역은 해당사항에 한해 적용되며, 할인내용에 해당될 시 증명서류를 증빙해야 할인 받을 수 있습니다.</t>
        </is>
      </c>
      <c r="B44" s="119" t="n"/>
      <c r="C44" s="119" t="n"/>
      <c r="D44" s="119" t="n"/>
      <c r="E44" s="119" t="n"/>
      <c r="F44" s="119" t="n"/>
      <c r="G44" s="54" t="n"/>
    </row>
    <row r="45" ht="16.5" customFormat="1" customHeight="1" s="48">
      <c r="A45" s="55" t="inlineStr">
        <is>
          <t xml:space="preserve">   3) 할인금액은 수강과목지원(무료)으로 진행됩니다.</t>
        </is>
      </c>
      <c r="B45" s="56" t="n"/>
      <c r="C45" s="56" t="n"/>
      <c r="D45" s="57" t="n"/>
      <c r="E45" s="57" t="n"/>
      <c r="F45" s="58" t="n"/>
      <c r="G45" s="59" t="n"/>
      <c r="I45" s="48" t="n"/>
      <c r="J45" s="48" t="n"/>
      <c r="K45" s="48" t="n"/>
      <c r="L45" s="48" t="n"/>
    </row>
    <row r="46" ht="16.5" customFormat="1" customHeight="1" s="48">
      <c r="A46" s="55" t="n"/>
      <c r="B46" s="56" t="n"/>
      <c r="C46" s="56" t="n"/>
      <c r="D46" s="57" t="n"/>
      <c r="E46" s="57" t="n"/>
      <c r="F46" s="58" t="n"/>
      <c r="G46" s="59" t="n"/>
      <c r="I46" s="48" t="n"/>
      <c r="J46" s="48" t="n"/>
      <c r="K46" s="48" t="n"/>
      <c r="L46" s="48" t="n"/>
    </row>
    <row r="47" ht="16.5" customFormat="1" customHeight="1" s="48">
      <c r="A47" s="64" t="inlineStr">
        <is>
          <t>■ 수강료 납부 안내</t>
        </is>
      </c>
      <c r="B47" s="60" t="n"/>
      <c r="C47" s="60" t="n"/>
      <c r="D47" s="61" t="n"/>
      <c r="E47" s="61" t="n"/>
      <c r="F47" s="61" t="n"/>
      <c r="G47" s="62" t="n"/>
      <c r="I47" s="48" t="n"/>
      <c r="J47" s="48" t="n"/>
      <c r="K47" s="48" t="n"/>
      <c r="L47" s="48" t="n"/>
    </row>
    <row r="48" ht="16.5" customFormat="1" customHeight="1" s="48">
      <c r="A48" s="55" t="inlineStr">
        <is>
          <t xml:space="preserve">    1) 현금수납 - 학원 안내접수처에서 접수 및 결제(현금영수증 발행)</t>
        </is>
      </c>
      <c r="B48" s="63" t="n"/>
      <c r="C48" s="63" t="n"/>
      <c r="D48" s="61" t="n"/>
      <c r="E48" s="61" t="n"/>
      <c r="F48" s="61" t="n"/>
      <c r="G48" s="62" t="n"/>
      <c r="I48" s="48" t="n"/>
      <c r="J48" s="48" t="n"/>
      <c r="K48" s="48" t="n"/>
      <c r="L48" s="48" t="n"/>
    </row>
    <row r="49" ht="16.5" customFormat="1" customHeight="1" s="48">
      <c r="A49" s="55" t="inlineStr">
        <is>
          <t xml:space="preserve">    2) 온라인입금(계좌이체) 결제(현금영수증 발행)</t>
        </is>
      </c>
      <c r="B49" s="63" t="n"/>
      <c r="C49" s="63" t="n"/>
      <c r="D49" s="61" t="n"/>
      <c r="E49" s="61" t="n"/>
      <c r="F49" s="61" t="n"/>
      <c r="G49" s="62" t="n"/>
      <c r="I49" s="48" t="n"/>
      <c r="J49" s="48" t="n"/>
      <c r="K49" s="48" t="n"/>
      <c r="L49" s="48" t="n"/>
    </row>
    <row r="50" ht="16.5" customFormat="1" customHeight="1" s="48">
      <c r="A50" s="64" t="inlineStr">
        <is>
          <t xml:space="preserve">           기업은행 064-166274-04-024 (주)코리아아이티아카데미대전 </t>
        </is>
      </c>
      <c r="B50" s="65" t="n"/>
      <c r="C50" s="65" t="n"/>
      <c r="D50" s="61" t="n"/>
      <c r="E50" s="61" t="n"/>
      <c r="F50" s="61" t="n"/>
      <c r="G50" s="62" t="n"/>
      <c r="I50" s="48" t="n"/>
      <c r="J50" s="48" t="n"/>
      <c r="K50" s="48" t="n"/>
      <c r="L50" s="48" t="n"/>
    </row>
    <row r="51" ht="16.5" customFormat="1" customHeight="1" s="48">
      <c r="A51" s="55" t="inlineStr">
        <is>
          <t xml:space="preserve">    3) 카드수납 - 학원 안내접수처에서 접수 및 결제 or 카드번호 결제(키인결제)</t>
        </is>
      </c>
      <c r="B51" s="66" t="n"/>
      <c r="C51" s="66" t="n"/>
      <c r="D51" s="61" t="n"/>
      <c r="E51" s="61" t="n"/>
      <c r="F51" s="61" t="n"/>
      <c r="G51" s="62" t="n"/>
      <c r="I51" s="48" t="n"/>
      <c r="J51" s="48" t="n"/>
      <c r="K51" s="48" t="n"/>
      <c r="L51" s="48" t="n"/>
    </row>
    <row r="52" ht="16.5" customFormat="1" customHeight="1" s="48">
      <c r="A52" s="55" t="inlineStr">
        <is>
          <t xml:space="preserve">                     - 학원 홈페이지(모바일, PC) 결제 &gt; 담당멘토 문의</t>
        </is>
      </c>
      <c r="B52" s="66" t="n"/>
      <c r="C52" s="66" t="n"/>
      <c r="D52" s="61" t="n"/>
      <c r="E52" s="61" t="n"/>
      <c r="F52" s="61" t="n"/>
      <c r="G52" s="62" t="n"/>
      <c r="I52" s="48" t="n"/>
      <c r="J52" s="48" t="n"/>
      <c r="K52" s="48" t="n"/>
      <c r="L52" s="48" t="n"/>
    </row>
    <row r="53" customFormat="1" s="48">
      <c r="A53" s="55" t="inlineStr">
        <is>
          <t xml:space="preserve">      * 카드사별 무이자 할부 혜택 상이함</t>
        </is>
      </c>
      <c r="B53" s="67" t="n"/>
      <c r="C53" s="67" t="n"/>
      <c r="D53" s="61" t="n"/>
      <c r="E53" s="61" t="n"/>
      <c r="F53" s="61" t="n"/>
      <c r="G53" s="62" t="n"/>
      <c r="I53" s="48" t="n"/>
      <c r="J53" s="48" t="n"/>
      <c r="K53" s="48" t="n"/>
      <c r="L53" s="48" t="n"/>
    </row>
  </sheetData>
  <mergeCells count="70">
    <mergeCell ref="F4:G4"/>
    <mergeCell ref="F11:G11"/>
    <mergeCell ref="B16:C16"/>
    <mergeCell ref="B7:C7"/>
    <mergeCell ref="F29:G29"/>
    <mergeCell ref="A37:C37"/>
    <mergeCell ref="B25:C25"/>
    <mergeCell ref="F10:G10"/>
    <mergeCell ref="D39:G39"/>
    <mergeCell ref="F25:G25"/>
    <mergeCell ref="E31:G31"/>
    <mergeCell ref="F16:G16"/>
    <mergeCell ref="F19:G19"/>
    <mergeCell ref="B22:C22"/>
    <mergeCell ref="B31:C31"/>
    <mergeCell ref="E30:G30"/>
    <mergeCell ref="B27:C27"/>
    <mergeCell ref="B18:C18"/>
    <mergeCell ref="D38:G38"/>
    <mergeCell ref="F7:G7"/>
    <mergeCell ref="B12:C12"/>
    <mergeCell ref="F21:G21"/>
    <mergeCell ref="B21:C21"/>
    <mergeCell ref="F12:G12"/>
    <mergeCell ref="F24:G24"/>
    <mergeCell ref="A40:G40"/>
    <mergeCell ref="F15:G15"/>
    <mergeCell ref="D35:G35"/>
    <mergeCell ref="A8:A27"/>
    <mergeCell ref="B11:C11"/>
    <mergeCell ref="F20:G20"/>
    <mergeCell ref="F18:G18"/>
    <mergeCell ref="B23:C23"/>
    <mergeCell ref="B14:C14"/>
    <mergeCell ref="D34:G34"/>
    <mergeCell ref="B17:C17"/>
    <mergeCell ref="A31:A33"/>
    <mergeCell ref="A35:C35"/>
    <mergeCell ref="F26:G26"/>
    <mergeCell ref="B8:C8"/>
    <mergeCell ref="A38:C38"/>
    <mergeCell ref="F17:G17"/>
    <mergeCell ref="F8:G8"/>
    <mergeCell ref="B13:C13"/>
    <mergeCell ref="E32:G32"/>
    <mergeCell ref="A1:G3"/>
    <mergeCell ref="D36:G36"/>
    <mergeCell ref="B19:C19"/>
    <mergeCell ref="B10:C10"/>
    <mergeCell ref="F23:G23"/>
    <mergeCell ref="F28:G28"/>
    <mergeCell ref="A30:C30"/>
    <mergeCell ref="F22:G22"/>
    <mergeCell ref="A34:C34"/>
    <mergeCell ref="F13:G13"/>
    <mergeCell ref="B9:C9"/>
    <mergeCell ref="F27:G27"/>
    <mergeCell ref="A39:C39"/>
    <mergeCell ref="F9:G9"/>
    <mergeCell ref="B24:C24"/>
    <mergeCell ref="A36:C36"/>
    <mergeCell ref="E33:G33"/>
    <mergeCell ref="B33:C33"/>
    <mergeCell ref="B15:C15"/>
    <mergeCell ref="B20:C20"/>
    <mergeCell ref="B32:C32"/>
    <mergeCell ref="F14:G14"/>
    <mergeCell ref="B26:C26"/>
    <mergeCell ref="D37:G37"/>
    <mergeCell ref="B41:F41"/>
  </mergeCells>
  <pageMargins left="0.7" right="0.7" top="0.75" bottom="0.75" header="0.3" footer="0.3"/>
  <pageSetup orientation="portrait" paperSize="9" scale="76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L42"/>
  <sheetViews>
    <sheetView view="pageBreakPreview" zoomScaleNormal="100" zoomScaleSheetLayoutView="100" workbookViewId="0">
      <selection activeCell="E16" sqref="E16"/>
    </sheetView>
  </sheetViews>
  <sheetFormatPr baseColWidth="8" defaultColWidth="8.88671875" defaultRowHeight="13.5"/>
  <cols>
    <col width="8.88671875" customWidth="1" style="48" min="1" max="1"/>
    <col width="29.21875" customWidth="1" style="48" min="2" max="2"/>
    <col width="14.5546875" customWidth="1" style="48" min="3" max="3"/>
    <col width="11.6640625" bestFit="1" customWidth="1" style="48" min="4" max="4"/>
    <col width="10.77734375" customWidth="1" style="48" min="5" max="5"/>
    <col width="8.109375" customWidth="1" style="48" min="6" max="6"/>
    <col width="10.5546875" customWidth="1" style="48" min="7" max="7"/>
    <col width="5.6640625" customWidth="1" style="48" min="8" max="8"/>
    <col width="21.6640625" bestFit="1" customWidth="1" style="48" min="9" max="9"/>
    <col width="19.44140625" bestFit="1" customWidth="1" style="48" min="10" max="10"/>
    <col width="20" bestFit="1" customWidth="1" style="48" min="11" max="11"/>
    <col width="19.44140625" bestFit="1" customWidth="1" style="48" min="12" max="12"/>
    <col width="8.88671875" customWidth="1" style="48" min="13" max="16384"/>
  </cols>
  <sheetData>
    <row r="1" ht="13.5" customHeight="1" s="155">
      <c r="A1" s="156" t="inlineStr">
        <is>
          <t>코리아 IT아카데미 교육과정 수강료 안내</t>
        </is>
      </c>
      <c r="B1" s="157" t="n"/>
      <c r="C1" s="157" t="n"/>
      <c r="D1" s="157" t="n"/>
      <c r="E1" s="157" t="n"/>
      <c r="F1" s="157" t="n"/>
      <c r="G1" s="158" t="n"/>
    </row>
    <row r="2" ht="13.5" customHeight="1" s="155">
      <c r="A2" s="159" t="n"/>
      <c r="G2" s="160" t="n"/>
    </row>
    <row r="3" ht="13.5" customHeight="1" s="155">
      <c r="A3" s="159" t="n"/>
      <c r="G3" s="160" t="n"/>
    </row>
    <row r="4" ht="27" customHeight="1" s="155">
      <c r="A4" s="79" t="n"/>
      <c r="B4" s="80" t="n"/>
      <c r="C4" s="76" t="n"/>
      <c r="D4" s="72" t="n"/>
      <c r="E4" s="73" t="n"/>
      <c r="F4" s="104" t="n"/>
      <c r="G4" s="160" t="n"/>
    </row>
    <row r="5" ht="27" customHeight="1" s="155">
      <c r="A5" s="79" t="n"/>
      <c r="B5" s="80" t="n"/>
      <c r="C5" s="82" t="inlineStr">
        <is>
          <t xml:space="preserve">상 담 일 자 : </t>
        </is>
      </c>
      <c r="D5" s="83">
        <f>TODAY()</f>
        <v/>
      </c>
      <c r="E5" s="84" t="inlineStr">
        <is>
          <t xml:space="preserve">상 담 자 : </t>
        </is>
      </c>
      <c r="F5" s="75" t="inlineStr">
        <is>
          <t>김동우 교육멘토</t>
        </is>
      </c>
      <c r="G5" s="78" t="n"/>
    </row>
    <row r="6" ht="19.5" customHeight="1" s="155">
      <c r="A6" s="74" t="inlineStr">
        <is>
          <t xml:space="preserve">■  과정 및 수강료                              </t>
        </is>
      </c>
      <c r="B6" s="75" t="n"/>
      <c r="C6" s="76" t="n"/>
      <c r="D6" s="77" t="n"/>
      <c r="E6" s="82" t="inlineStr">
        <is>
          <t xml:space="preserve">연 락 처 : </t>
        </is>
      </c>
      <c r="F6" s="75" t="inlineStr">
        <is>
          <t>042-369-5815</t>
        </is>
      </c>
      <c r="G6" s="81" t="n"/>
    </row>
    <row r="7" ht="19.5" customHeight="1" s="155">
      <c r="A7" s="50" t="inlineStr">
        <is>
          <t>과 정</t>
        </is>
      </c>
      <c r="B7" s="47" t="inlineStr">
        <is>
          <t>과목명</t>
        </is>
      </c>
      <c r="C7" s="161" t="n"/>
      <c r="D7" s="47" t="inlineStr">
        <is>
          <t>COURSE</t>
        </is>
      </c>
      <c r="E7" s="47" t="inlineStr">
        <is>
          <t>TIME</t>
        </is>
      </c>
      <c r="F7" s="162" t="inlineStr">
        <is>
          <t>수강료</t>
        </is>
      </c>
      <c r="G7" s="163" t="n"/>
      <c r="I7" s="164" t="n"/>
      <c r="J7" s="165" t="n"/>
      <c r="K7" s="51" t="n"/>
      <c r="L7" s="51" t="n"/>
    </row>
    <row r="8" ht="19.5" customHeight="1" s="155">
      <c r="A8" s="120" t="inlineStr">
        <is>
          <t>데이터 자격증 패키지</t>
        </is>
      </c>
      <c r="B8" s="166" t="inlineStr">
        <is>
          <t>파이썬 1 (기초)</t>
        </is>
      </c>
      <c r="C8" s="161" t="n"/>
      <c r="D8" s="167" t="n">
        <v>1</v>
      </c>
      <c r="E8" s="71" t="inlineStr">
        <is>
          <t>평일 / 주말</t>
        </is>
      </c>
      <c r="F8" s="168" t="n">
        <v>400000</v>
      </c>
      <c r="G8" s="163" t="n"/>
      <c r="I8" s="164" t="n"/>
      <c r="J8" s="165" t="n"/>
      <c r="K8" s="51" t="n"/>
      <c r="L8" s="51" t="n"/>
    </row>
    <row r="9" ht="19.5" customHeight="1" s="155">
      <c r="A9" s="169" t="n"/>
      <c r="B9" s="166" t="inlineStr">
        <is>
          <t>파이썬 2 (중급)</t>
        </is>
      </c>
      <c r="C9" s="161" t="n"/>
      <c r="D9" s="167" t="n">
        <v>1</v>
      </c>
      <c r="E9" s="71" t="inlineStr">
        <is>
          <t>평일 / 주말</t>
        </is>
      </c>
      <c r="F9" s="168" t="n">
        <v>400000</v>
      </c>
      <c r="G9" s="163" t="n"/>
      <c r="I9" s="164" t="n"/>
      <c r="J9" s="165" t="n"/>
      <c r="K9" s="51" t="n"/>
      <c r="L9" s="51" t="n"/>
    </row>
    <row r="10" ht="19.5" customHeight="1" s="155">
      <c r="A10" s="169" t="n"/>
      <c r="B10" s="185" t="inlineStr">
        <is>
          <t>데이터 분석 1 (기초)</t>
        </is>
      </c>
      <c r="C10" s="161" t="n"/>
      <c r="D10" s="167" t="n">
        <v>1</v>
      </c>
      <c r="E10" s="71" t="inlineStr">
        <is>
          <t>주말</t>
        </is>
      </c>
      <c r="F10" s="168" t="n">
        <v>500000</v>
      </c>
      <c r="G10" s="163" t="n"/>
      <c r="I10" s="164" t="n"/>
      <c r="J10" s="165" t="n"/>
      <c r="K10" s="51" t="n"/>
      <c r="L10" s="51" t="n"/>
    </row>
    <row r="11" ht="19.5" customHeight="1" s="155">
      <c r="A11" s="169" t="n"/>
      <c r="B11" s="185" t="inlineStr">
        <is>
          <t>데이터 분석 2 (심화)</t>
        </is>
      </c>
      <c r="C11" s="161" t="n"/>
      <c r="D11" s="167" t="n">
        <v>1</v>
      </c>
      <c r="E11" s="71" t="inlineStr">
        <is>
          <t>주말</t>
        </is>
      </c>
      <c r="F11" s="168" t="n">
        <v>500000</v>
      </c>
      <c r="G11" s="163" t="n"/>
      <c r="I11" s="164" t="n"/>
      <c r="J11" s="165" t="n"/>
      <c r="K11" s="51" t="n"/>
      <c r="L11" s="51" t="n"/>
    </row>
    <row r="12" ht="19.5" customHeight="1" s="155">
      <c r="A12" s="169" t="n"/>
      <c r="B12" s="185" t="inlineStr">
        <is>
          <t>DBMS (SQL)</t>
        </is>
      </c>
      <c r="C12" s="161" t="n"/>
      <c r="D12" s="167" t="n">
        <v>1</v>
      </c>
      <c r="E12" s="71" t="inlineStr">
        <is>
          <t>평일 / 주말</t>
        </is>
      </c>
      <c r="F12" s="168" t="n">
        <v>500000</v>
      </c>
      <c r="G12" s="163" t="n"/>
      <c r="I12" s="164" t="n"/>
      <c r="J12" s="165" t="n"/>
      <c r="K12" s="51" t="n"/>
      <c r="L12" s="51" t="n"/>
    </row>
    <row r="13" ht="19.5" customHeight="1" s="155">
      <c r="A13" s="169" t="n"/>
      <c r="B13" s="185" t="inlineStr">
        <is>
          <t>SQL-D (자격증)</t>
        </is>
      </c>
      <c r="C13" s="161" t="n"/>
      <c r="D13" s="167" t="n">
        <v>1</v>
      </c>
      <c r="E13" s="71" t="inlineStr">
        <is>
          <t>주말</t>
        </is>
      </c>
      <c r="F13" s="168" t="n">
        <v>500000</v>
      </c>
      <c r="G13" s="163" t="n"/>
      <c r="I13" s="164" t="n"/>
      <c r="J13" s="165" t="n"/>
      <c r="K13" s="51" t="n"/>
      <c r="L13" s="51" t="n"/>
    </row>
    <row r="14" ht="19.5" customHeight="1" s="155">
      <c r="A14" s="169" t="n"/>
      <c r="B14" s="185" t="inlineStr">
        <is>
          <t>ADsP (자격증</t>
        </is>
      </c>
      <c r="C14" s="161" t="n"/>
      <c r="D14" s="167" t="n">
        <v>1</v>
      </c>
      <c r="E14" s="71" t="inlineStr">
        <is>
          <t>주말</t>
        </is>
      </c>
      <c r="F14" s="168" t="n">
        <v>500000</v>
      </c>
      <c r="G14" s="163" t="n"/>
      <c r="I14" s="164" t="n"/>
      <c r="J14" s="165" t="n"/>
      <c r="K14" s="51" t="n"/>
      <c r="L14" s="51" t="n"/>
    </row>
    <row r="15" ht="19.5" customHeight="1" s="155">
      <c r="A15" s="169" t="n"/>
      <c r="B15" s="166" t="inlineStr">
        <is>
          <t>빅데이터 분석기사 필기 (강남 비대면)</t>
        </is>
      </c>
      <c r="C15" s="161" t="n"/>
      <c r="D15" s="167" t="n">
        <v>1</v>
      </c>
      <c r="E15" s="71" t="inlineStr">
        <is>
          <t>주말</t>
        </is>
      </c>
      <c r="F15" s="168" t="n">
        <v>600000</v>
      </c>
      <c r="G15" s="163" t="n"/>
      <c r="I15" s="164" t="n"/>
      <c r="J15" s="165" t="n"/>
      <c r="K15" s="51" t="n"/>
      <c r="L15" s="51" t="n"/>
    </row>
    <row r="16" ht="19.5" customHeight="1" s="155">
      <c r="A16" s="169" t="n"/>
      <c r="B16" s="166" t="inlineStr">
        <is>
          <t>빅데이터 분석기사 실기 (강남 비대면)</t>
        </is>
      </c>
      <c r="C16" s="161" t="n"/>
      <c r="D16" s="167" t="n">
        <v>1</v>
      </c>
      <c r="E16" s="71" t="inlineStr">
        <is>
          <t>주말</t>
        </is>
      </c>
      <c r="F16" s="168" t="n">
        <v>600000</v>
      </c>
      <c r="G16" s="163" t="n"/>
      <c r="I16" s="164" t="n"/>
      <c r="J16" s="165" t="n"/>
      <c r="K16" s="51" t="n"/>
      <c r="L16" s="51" t="n"/>
    </row>
    <row r="17" ht="33.6" customHeight="1" s="155">
      <c r="A17" s="93" t="inlineStr">
        <is>
          <t>따즈아</t>
        </is>
      </c>
      <c r="B17" s="94" t="inlineStr">
        <is>
          <t>온라인강의</t>
        </is>
      </c>
      <c r="C17" s="95" t="n">
        <v>500000</v>
      </c>
      <c r="D17" s="170">
        <f>SUM(D8:D16)</f>
        <v/>
      </c>
      <c r="E17" s="88" t="inlineStr">
        <is>
          <t>원수강료</t>
        </is>
      </c>
      <c r="F17" s="188">
        <f>SUM(F8:G16)</f>
        <v/>
      </c>
      <c r="G17" s="172" t="n"/>
      <c r="I17" s="48" t="n"/>
      <c r="J17" s="48" t="n"/>
      <c r="K17" s="48" t="n"/>
      <c r="L17" s="48" t="n"/>
    </row>
    <row r="18" ht="19.5" customHeight="1" s="155">
      <c r="A18" s="49" t="inlineStr">
        <is>
          <t>■ 교육과정 할인내역</t>
        </is>
      </c>
      <c r="B18" s="90" t="n"/>
      <c r="C18" s="91" t="n"/>
      <c r="D18" s="56" t="n"/>
      <c r="E18" s="56" t="n"/>
      <c r="F18" s="173" t="n"/>
      <c r="G18" s="160" t="n"/>
      <c r="I18" s="48" t="n"/>
      <c r="J18" s="48" t="n"/>
      <c r="K18" s="48" t="n"/>
      <c r="L18" s="48" t="n"/>
    </row>
    <row r="19" ht="19.5" customHeight="1" s="155">
      <c r="A19" s="50" t="inlineStr">
        <is>
          <t>세부할인 내역</t>
        </is>
      </c>
      <c r="B19" s="174" t="n"/>
      <c r="C19" s="161" t="n"/>
      <c r="D19" s="47" t="inlineStr">
        <is>
          <t>할인율(%)</t>
        </is>
      </c>
      <c r="E19" s="175" t="inlineStr">
        <is>
          <t>할인금액</t>
        </is>
      </c>
      <c r="F19" s="174" t="n"/>
      <c r="G19" s="163" t="n"/>
    </row>
    <row r="20" ht="19.5" customHeight="1" s="155">
      <c r="A20" s="176" t="inlineStr">
        <is>
          <t>할인
내역</t>
        </is>
      </c>
      <c r="B20" s="189" t="inlineStr">
        <is>
          <t>기초프로그래밍 패키지 할인</t>
        </is>
      </c>
      <c r="C20" s="161" t="n"/>
      <c r="D20" s="85" t="n">
        <v>0.15</v>
      </c>
      <c r="E20" s="177">
        <f>F17*D20</f>
        <v/>
      </c>
      <c r="F20" s="174" t="n"/>
      <c r="G20" s="163" t="n"/>
    </row>
    <row r="21" ht="19.5" customHeight="1" s="155">
      <c r="A21" s="169" t="n"/>
      <c r="B21" s="138" t="inlineStr">
        <is>
          <t>O월 이벤트할인 / 사전등록 추가할인 등</t>
        </is>
      </c>
      <c r="C21" s="174" t="n"/>
      <c r="D21" s="53" t="n">
        <v>0.1</v>
      </c>
      <c r="E21" s="178">
        <f>(F17*(1-D20)*D21)</f>
        <v/>
      </c>
      <c r="F21" s="174" t="n"/>
      <c r="G21" s="163" t="n"/>
      <c r="H21" s="48" t="n"/>
      <c r="I21" s="164" t="n"/>
      <c r="J21" s="165" t="n"/>
      <c r="K21" s="51" t="n"/>
      <c r="L21" s="51" t="n"/>
    </row>
    <row r="22" ht="19.5" customHeight="1" s="155">
      <c r="A22" s="179" t="n"/>
      <c r="B22" s="138" t="inlineStr">
        <is>
          <t>친구추천 할인 / 비전공자 할인 등</t>
        </is>
      </c>
      <c r="C22" s="174" t="n"/>
      <c r="D22" s="45" t="n">
        <v>0.05</v>
      </c>
      <c r="E22" s="177">
        <f>(F17*(1-D20)*(1-D21)*D22)</f>
        <v/>
      </c>
      <c r="F22" s="174" t="n"/>
      <c r="G22" s="163" t="n"/>
      <c r="H22" s="48" t="n"/>
      <c r="I22" s="164" t="n"/>
      <c r="J22" s="165" t="n"/>
      <c r="K22" s="51" t="n"/>
      <c r="L22" s="51" t="n"/>
    </row>
    <row r="23" ht="23.25" customHeight="1" s="155">
      <c r="A23" s="180" t="inlineStr">
        <is>
          <t xml:space="preserve">총 할인금액 (수강지원)  </t>
        </is>
      </c>
      <c r="B23" s="174" t="n"/>
      <c r="C23" s="161" t="n"/>
      <c r="D23" s="181">
        <f>ROUNDUP(SUM(E20:G22),-3)</f>
        <v/>
      </c>
      <c r="E23" s="174" t="n"/>
      <c r="F23" s="174" t="n"/>
      <c r="G23" s="163" t="n"/>
      <c r="H23" s="48" t="n"/>
      <c r="I23" s="48" t="n"/>
      <c r="J23" s="48" t="n"/>
      <c r="K23" s="48" t="n"/>
      <c r="L23" s="48" t="n"/>
    </row>
    <row r="24" ht="23.25" customHeight="1" s="155">
      <c r="A24" s="182" t="inlineStr">
        <is>
          <t xml:space="preserve">납부 해야할 수강료 (할인적용)  </t>
        </is>
      </c>
      <c r="B24" s="174" t="n"/>
      <c r="C24" s="161" t="n"/>
      <c r="D24" s="183">
        <f>F17-D23</f>
        <v/>
      </c>
      <c r="E24" s="174" t="n"/>
      <c r="F24" s="174" t="n"/>
      <c r="G24" s="163" t="n"/>
      <c r="H24" s="48" t="n"/>
      <c r="I24" s="48" t="n"/>
      <c r="J24" s="48" t="n"/>
      <c r="K24" s="48" t="n"/>
      <c r="L24" s="48" t="n"/>
    </row>
    <row r="25" ht="23.25" customHeight="1" s="155">
      <c r="A25" s="182" t="inlineStr">
        <is>
          <t>총 등록금액</t>
        </is>
      </c>
      <c r="B25" s="174" t="n"/>
      <c r="C25" s="161" t="n"/>
      <c r="D25" s="183">
        <f>SUM(D24+C17)</f>
        <v/>
      </c>
      <c r="E25" s="174" t="n"/>
      <c r="F25" s="174" t="n"/>
      <c r="G25" s="163" t="n"/>
      <c r="H25" s="48" t="n"/>
      <c r="I25" s="48" t="n"/>
      <c r="J25" s="48" t="n"/>
      <c r="K25" s="48" t="n"/>
      <c r="L25" s="48" t="n"/>
    </row>
    <row r="26" ht="23.25" customHeight="1" s="155">
      <c r="A26" s="182" t="inlineStr">
        <is>
          <t>3개월 할부 진행시</t>
        </is>
      </c>
      <c r="B26" s="174" t="n"/>
      <c r="C26" s="161" t="n"/>
      <c r="D26" s="184">
        <f>SUM(D25/3)</f>
        <v/>
      </c>
      <c r="E26" s="174" t="n"/>
      <c r="F26" s="174" t="n"/>
      <c r="G26" s="163" t="n"/>
      <c r="H26" s="48" t="n"/>
      <c r="I26" s="48" t="n"/>
      <c r="J26" s="48" t="n"/>
      <c r="K26" s="48" t="n"/>
      <c r="L26" s="48" t="n"/>
    </row>
    <row r="27" ht="23.25" customHeight="1" s="155">
      <c r="A27" s="182" t="inlineStr">
        <is>
          <t>6개월 할부 진행시</t>
        </is>
      </c>
      <c r="B27" s="174" t="n"/>
      <c r="C27" s="161" t="n"/>
      <c r="D27" s="184">
        <f>SUM(D25/6)</f>
        <v/>
      </c>
      <c r="E27" s="174" t="n"/>
      <c r="F27" s="174" t="n"/>
      <c r="G27" s="163" t="n"/>
      <c r="H27" s="48" t="n"/>
      <c r="I27" s="48" t="n"/>
      <c r="J27" s="48" t="n"/>
      <c r="K27" s="48" t="n"/>
      <c r="L27" s="48" t="n"/>
    </row>
    <row r="28" ht="23.25" customHeight="1" s="155">
      <c r="A28" s="182" t="inlineStr">
        <is>
          <t>1과목당 수강료</t>
        </is>
      </c>
      <c r="B28" s="174" t="n"/>
      <c r="C28" s="161" t="n"/>
      <c r="D28" s="184">
        <f>SUM(D24/D17)</f>
        <v/>
      </c>
      <c r="E28" s="174" t="n"/>
      <c r="F28" s="174" t="n"/>
      <c r="G28" s="163" t="n"/>
      <c r="H28" s="48" t="n"/>
      <c r="I28" s="48" t="n"/>
      <c r="J28" s="48" t="n"/>
      <c r="K28" s="48" t="n"/>
      <c r="L28" s="48" t="n"/>
    </row>
    <row r="29" ht="23.25" customHeight="1" s="155">
      <c r="A29" s="190" t="inlineStr">
        <is>
          <t>★ 당일등록시 혜택 : 000 지원 ★</t>
        </is>
      </c>
      <c r="B29" s="174" t="n"/>
      <c r="C29" s="174" t="n"/>
      <c r="D29" s="174" t="n"/>
      <c r="E29" s="174" t="n"/>
      <c r="F29" s="174" t="n"/>
      <c r="G29" s="163" t="n"/>
      <c r="H29" s="48" t="n"/>
      <c r="I29" s="48" t="n"/>
      <c r="J29" s="48" t="n"/>
      <c r="K29" s="48" t="n"/>
      <c r="L29" s="48" t="n"/>
    </row>
    <row r="30" ht="16.5" customHeight="1" s="155">
      <c r="A30" s="55" t="n"/>
      <c r="B30" s="119" t="n"/>
      <c r="G30" s="54" t="n"/>
      <c r="I30" s="52" t="n"/>
      <c r="J30" s="48" t="n"/>
      <c r="K30" s="48" t="n"/>
      <c r="L30" s="48" t="n"/>
    </row>
    <row r="31" ht="16.5" customHeight="1" s="155">
      <c r="A31" s="64" t="inlineStr">
        <is>
          <t>■ 안내사항</t>
        </is>
      </c>
      <c r="B31" s="119" t="n"/>
      <c r="C31" s="119" t="n"/>
      <c r="D31" s="119" t="n"/>
      <c r="E31" s="119" t="n"/>
      <c r="F31" s="119" t="n"/>
      <c r="G31" s="54" t="n"/>
      <c r="I31" s="52" t="n"/>
      <c r="J31" s="48" t="n"/>
      <c r="K31" s="48" t="n"/>
      <c r="L31" s="48" t="n"/>
    </row>
    <row r="32" ht="16.5" customHeight="1" s="155">
      <c r="A32" s="55" t="inlineStr">
        <is>
          <t xml:space="preserve">   1) 위 수강료는 학원내 게시되어 있는 수강료 기준이며, 교육청에 신고된 금액입니다.</t>
        </is>
      </c>
      <c r="B32" s="119" t="n"/>
      <c r="C32" s="119" t="n"/>
      <c r="D32" s="119" t="n"/>
      <c r="E32" s="119" t="n"/>
      <c r="F32" s="119" t="n"/>
      <c r="G32" s="54" t="n"/>
      <c r="I32" s="48" t="n"/>
      <c r="J32" s="48" t="n"/>
      <c r="K32" s="48" t="n"/>
      <c r="L32" s="48" t="n"/>
    </row>
    <row r="33" ht="16.5" customHeight="1" s="155">
      <c r="A33" s="55" t="inlineStr">
        <is>
          <t xml:space="preserve">   2) 위 할인내역은 해당사항에 한해 적용되며, 할인내용에 해당될 시 증명서류를 증빙해야 할인 받을 수 있습니다.</t>
        </is>
      </c>
      <c r="B33" s="119" t="n"/>
      <c r="C33" s="119" t="n"/>
      <c r="D33" s="119" t="n"/>
      <c r="E33" s="119" t="n"/>
      <c r="F33" s="119" t="n"/>
      <c r="G33" s="54" t="n"/>
      <c r="I33" s="48" t="n"/>
      <c r="J33" s="48" t="n"/>
      <c r="K33" s="48" t="n"/>
      <c r="L33" s="48" t="n"/>
    </row>
    <row r="34" ht="16.5" customHeight="1" s="155">
      <c r="A34" s="55" t="inlineStr">
        <is>
          <t xml:space="preserve">   3) 할인금액은 수강과목지원(무료)으로 진행됩니다.</t>
        </is>
      </c>
      <c r="B34" s="56" t="n"/>
      <c r="C34" s="56" t="n"/>
      <c r="D34" s="57" t="n"/>
      <c r="E34" s="57" t="n"/>
      <c r="F34" s="58" t="n"/>
      <c r="G34" s="59" t="n"/>
    </row>
    <row r="35" ht="16.5" customHeight="1" s="155">
      <c r="A35" s="55" t="n"/>
      <c r="B35" s="56" t="n"/>
      <c r="C35" s="56" t="n"/>
      <c r="D35" s="57" t="n"/>
      <c r="E35" s="57" t="n"/>
      <c r="F35" s="58" t="n"/>
      <c r="G35" s="59" t="n"/>
    </row>
    <row r="36" ht="16.5" customHeight="1" s="155">
      <c r="A36" s="64" t="inlineStr">
        <is>
          <t>■ 수강료 납부 안내</t>
        </is>
      </c>
      <c r="B36" s="60" t="n"/>
      <c r="C36" s="60" t="n"/>
      <c r="D36" s="61" t="n"/>
      <c r="E36" s="61" t="n"/>
      <c r="F36" s="61" t="n"/>
      <c r="G36" s="62" t="n"/>
    </row>
    <row r="37" ht="16.5" customHeight="1" s="155">
      <c r="A37" s="55" t="inlineStr">
        <is>
          <t xml:space="preserve">    1) 현금수납 - 학원 안내접수처에서 접수 및 결제(현금영수증 발행)</t>
        </is>
      </c>
      <c r="B37" s="63" t="n"/>
      <c r="C37" s="63" t="n"/>
      <c r="D37" s="61" t="n"/>
      <c r="E37" s="61" t="n"/>
      <c r="F37" s="61" t="n"/>
      <c r="G37" s="62" t="n"/>
    </row>
    <row r="38" ht="16.5" customHeight="1" s="155">
      <c r="A38" s="55" t="inlineStr">
        <is>
          <t xml:space="preserve">    2) 온라인입금(계좌이체) 결제(현금영수증 발행)</t>
        </is>
      </c>
      <c r="B38" s="63" t="n"/>
      <c r="C38" s="63" t="n"/>
      <c r="D38" s="61" t="n"/>
      <c r="E38" s="61" t="n"/>
      <c r="F38" s="61" t="n"/>
      <c r="G38" s="62" t="n"/>
    </row>
    <row r="39" ht="16.5" customHeight="1" s="155">
      <c r="A39" s="64" t="inlineStr">
        <is>
          <t xml:space="preserve">           기업은행 064-166274-04-024 (주)코리아아이티아카데미대전 </t>
        </is>
      </c>
      <c r="B39" s="65" t="n"/>
      <c r="C39" s="65" t="n"/>
      <c r="D39" s="61" t="n"/>
      <c r="E39" s="61" t="n"/>
      <c r="F39" s="61" t="n"/>
      <c r="G39" s="62" t="n"/>
    </row>
    <row r="40" ht="16.5" customHeight="1" s="155">
      <c r="A40" s="55" t="inlineStr">
        <is>
          <t xml:space="preserve">    3) 카드수납 - 학원 안내접수처에서 접수 및 결제 or 카드번호 결제(키인결제)</t>
        </is>
      </c>
      <c r="B40" s="66" t="n"/>
      <c r="C40" s="66" t="n"/>
      <c r="D40" s="61" t="n"/>
      <c r="E40" s="61" t="n"/>
      <c r="F40" s="61" t="n"/>
      <c r="G40" s="62" t="n"/>
    </row>
    <row r="41" ht="16.5" customHeight="1" s="155">
      <c r="A41" s="55" t="inlineStr">
        <is>
          <t xml:space="preserve">                     - 학원 홈페이지(모바일, PC) 결제 &gt; 담당멘토 문의</t>
        </is>
      </c>
      <c r="B41" s="66" t="n"/>
      <c r="C41" s="66" t="n"/>
      <c r="D41" s="61" t="n"/>
      <c r="E41" s="61" t="n"/>
      <c r="F41" s="61" t="n"/>
      <c r="G41" s="62" t="n"/>
    </row>
    <row r="42">
      <c r="A42" s="55" t="inlineStr">
        <is>
          <t xml:space="preserve">      * 카드사별 무이자 할부 혜택 상이함</t>
        </is>
      </c>
      <c r="B42" s="67" t="n"/>
      <c r="C42" s="67" t="n"/>
      <c r="D42" s="61" t="n"/>
      <c r="E42" s="61" t="n"/>
      <c r="F42" s="61" t="n"/>
      <c r="G42" s="62" t="n"/>
    </row>
  </sheetData>
  <mergeCells count="48">
    <mergeCell ref="A25:C25"/>
    <mergeCell ref="F4:G4"/>
    <mergeCell ref="F11:G11"/>
    <mergeCell ref="B16:C16"/>
    <mergeCell ref="E19:G19"/>
    <mergeCell ref="B7:C7"/>
    <mergeCell ref="F10:G10"/>
    <mergeCell ref="F16:G16"/>
    <mergeCell ref="D25:G25"/>
    <mergeCell ref="A20:A22"/>
    <mergeCell ref="D24:G24"/>
    <mergeCell ref="B22:C22"/>
    <mergeCell ref="A27:C27"/>
    <mergeCell ref="A29:G29"/>
    <mergeCell ref="A26:C26"/>
    <mergeCell ref="F7:G7"/>
    <mergeCell ref="B12:C12"/>
    <mergeCell ref="D23:G23"/>
    <mergeCell ref="B21:C21"/>
    <mergeCell ref="F12:G12"/>
    <mergeCell ref="D26:G26"/>
    <mergeCell ref="A8:A16"/>
    <mergeCell ref="A23:C23"/>
    <mergeCell ref="B11:C11"/>
    <mergeCell ref="F15:G15"/>
    <mergeCell ref="F18:G18"/>
    <mergeCell ref="B14:C14"/>
    <mergeCell ref="B8:C8"/>
    <mergeCell ref="F17:G17"/>
    <mergeCell ref="F8:G8"/>
    <mergeCell ref="B13:C13"/>
    <mergeCell ref="A28:C28"/>
    <mergeCell ref="A1:G3"/>
    <mergeCell ref="A19:C19"/>
    <mergeCell ref="E22:G22"/>
    <mergeCell ref="B10:C10"/>
    <mergeCell ref="E20:G20"/>
    <mergeCell ref="E21:G21"/>
    <mergeCell ref="D27:G27"/>
    <mergeCell ref="B9:C9"/>
    <mergeCell ref="F13:G13"/>
    <mergeCell ref="A24:C24"/>
    <mergeCell ref="F9:G9"/>
    <mergeCell ref="B30:F30"/>
    <mergeCell ref="B15:C15"/>
    <mergeCell ref="B20:C20"/>
    <mergeCell ref="F14:G14"/>
    <mergeCell ref="D28:G28"/>
  </mergeCells>
  <pageMargins left="0.7" right="0.7" top="0.75" bottom="0.75" header="0.3" footer="0.3"/>
  <pageSetup orientation="portrait" paperSize="9" scale="8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6" tint="0.5999938962981048"/>
    <outlinePr summaryBelow="1" summaryRight="1"/>
    <pageSetUpPr/>
  </sheetPr>
  <dimension ref="A1:L43"/>
  <sheetViews>
    <sheetView view="pageBreakPreview" zoomScaleNormal="100" zoomScaleSheetLayoutView="100" workbookViewId="0">
      <selection activeCell="A29" sqref="A29:G30"/>
    </sheetView>
  </sheetViews>
  <sheetFormatPr baseColWidth="8" defaultColWidth="8.88671875" defaultRowHeight="13.5"/>
  <cols>
    <col width="8.88671875" customWidth="1" style="48" min="1" max="1"/>
    <col width="29.21875" customWidth="1" style="48" min="2" max="2"/>
    <col width="14.5546875" customWidth="1" style="48" min="3" max="3"/>
    <col width="11.6640625" bestFit="1" customWidth="1" style="48" min="4" max="4"/>
    <col width="10.77734375" customWidth="1" style="48" min="5" max="5"/>
    <col width="8.109375" customWidth="1" style="48" min="6" max="6"/>
    <col width="10.5546875" customWidth="1" style="48" min="7" max="7"/>
    <col width="5.6640625" customWidth="1" style="48" min="8" max="8"/>
    <col width="21.6640625" bestFit="1" customWidth="1" style="48" min="9" max="9"/>
    <col width="19.44140625" bestFit="1" customWidth="1" style="48" min="10" max="10"/>
    <col width="20" bestFit="1" customWidth="1" style="48" min="11" max="11"/>
    <col width="19.44140625" bestFit="1" customWidth="1" style="48" min="12" max="12"/>
    <col width="8.88671875" customWidth="1" style="48" min="13" max="16384"/>
  </cols>
  <sheetData>
    <row r="1" ht="13.5" customHeight="1" s="155">
      <c r="A1" s="156" t="inlineStr">
        <is>
          <t>코리아 IT아카데미 교육과정 수강료 안내</t>
        </is>
      </c>
      <c r="B1" s="157" t="n"/>
      <c r="C1" s="157" t="n"/>
      <c r="D1" s="157" t="n"/>
      <c r="E1" s="157" t="n"/>
      <c r="F1" s="157" t="n"/>
      <c r="G1" s="158" t="n"/>
    </row>
    <row r="2" ht="13.5" customHeight="1" s="155">
      <c r="A2" s="159" t="n"/>
      <c r="G2" s="160" t="n"/>
    </row>
    <row r="3" ht="13.5" customHeight="1" s="155">
      <c r="A3" s="159" t="n"/>
      <c r="G3" s="160" t="n"/>
    </row>
    <row r="4" ht="27" customHeight="1" s="155">
      <c r="A4" s="79" t="n"/>
      <c r="B4" s="80" t="n"/>
      <c r="C4" s="76" t="n"/>
      <c r="D4" s="72" t="n"/>
      <c r="E4" s="73" t="n"/>
      <c r="F4" s="104" t="n"/>
      <c r="G4" s="160" t="n"/>
    </row>
    <row r="5" ht="27" customHeight="1" s="155">
      <c r="A5" s="79" t="n"/>
      <c r="B5" s="80" t="n"/>
      <c r="C5" s="82" t="inlineStr">
        <is>
          <t xml:space="preserve">상 담 일 자 : </t>
        </is>
      </c>
      <c r="D5" s="83">
        <f>TODAY()</f>
        <v/>
      </c>
      <c r="E5" s="84" t="inlineStr">
        <is>
          <t xml:space="preserve">상 담 자 : </t>
        </is>
      </c>
      <c r="F5" s="75" t="inlineStr">
        <is>
          <t>김동우 교육멘토</t>
        </is>
      </c>
      <c r="G5" s="78" t="n"/>
    </row>
    <row r="6" ht="19.5" customHeight="1" s="155">
      <c r="A6" s="74" t="inlineStr">
        <is>
          <t xml:space="preserve">■  과정 및 수강료                              </t>
        </is>
      </c>
      <c r="B6" s="75" t="n"/>
      <c r="C6" s="76" t="n"/>
      <c r="D6" s="77" t="n"/>
      <c r="E6" s="82" t="inlineStr">
        <is>
          <t xml:space="preserve">연 락 처 : </t>
        </is>
      </c>
      <c r="F6" s="75" t="inlineStr">
        <is>
          <t>042-369-5815</t>
        </is>
      </c>
      <c r="G6" s="81" t="n"/>
    </row>
    <row r="7" ht="19.5" customHeight="1" s="155">
      <c r="A7" s="50" t="inlineStr">
        <is>
          <t>과 정</t>
        </is>
      </c>
      <c r="B7" s="47" t="inlineStr">
        <is>
          <t>과목명</t>
        </is>
      </c>
      <c r="C7" s="161" t="n"/>
      <c r="D7" s="47" t="inlineStr">
        <is>
          <t>COURSE</t>
        </is>
      </c>
      <c r="E7" s="47" t="inlineStr">
        <is>
          <t>TIME</t>
        </is>
      </c>
      <c r="F7" s="162" t="inlineStr">
        <is>
          <t>수강료</t>
        </is>
      </c>
      <c r="G7" s="163" t="n"/>
      <c r="I7" s="164" t="n"/>
      <c r="J7" s="165" t="n"/>
      <c r="K7" s="51" t="n"/>
      <c r="L7" s="51" t="n"/>
    </row>
    <row r="8" ht="19.5" customHeight="1" s="155">
      <c r="A8" s="120" t="inlineStr">
        <is>
          <t>정보처리
자격증
취득과정</t>
        </is>
      </c>
      <c r="B8" s="166" t="inlineStr">
        <is>
          <t>파이썬 1 (기초)</t>
        </is>
      </c>
      <c r="C8" s="161" t="n"/>
      <c r="D8" s="167" t="n">
        <v>1</v>
      </c>
      <c r="E8" s="71" t="inlineStr">
        <is>
          <t>평일 / 주말</t>
        </is>
      </c>
      <c r="F8" s="168" t="n">
        <v>400000</v>
      </c>
      <c r="G8" s="163" t="n"/>
      <c r="I8" s="164" t="n"/>
      <c r="J8" s="165" t="n"/>
      <c r="K8" s="51" t="n"/>
      <c r="L8" s="51" t="n"/>
    </row>
    <row r="9" ht="19.5" customHeight="1" s="155">
      <c r="A9" s="169" t="n"/>
      <c r="B9" s="166" t="inlineStr">
        <is>
          <t>파이썬 2 (중급)</t>
        </is>
      </c>
      <c r="C9" s="161" t="n"/>
      <c r="D9" s="167" t="n">
        <v>1</v>
      </c>
      <c r="E9" s="71" t="inlineStr">
        <is>
          <t>평일 / 주말</t>
        </is>
      </c>
      <c r="F9" s="168" t="n">
        <v>400000</v>
      </c>
      <c r="G9" s="163" t="n"/>
      <c r="I9" s="164" t="n"/>
      <c r="J9" s="165" t="n"/>
      <c r="K9" s="51" t="n"/>
      <c r="L9" s="51" t="n"/>
    </row>
    <row r="10" ht="19.5" customHeight="1" s="155">
      <c r="A10" s="169" t="n"/>
      <c r="B10" s="166" t="inlineStr">
        <is>
          <t>C언어 1 (기초)</t>
        </is>
      </c>
      <c r="C10" s="161" t="n"/>
      <c r="D10" s="167" t="n">
        <v>1</v>
      </c>
      <c r="E10" s="71" t="inlineStr">
        <is>
          <t>평일 / 주말</t>
        </is>
      </c>
      <c r="F10" s="168" t="n">
        <v>400000</v>
      </c>
      <c r="G10" s="163" t="n"/>
      <c r="I10" s="164" t="n"/>
      <c r="J10" s="165" t="n"/>
      <c r="K10" s="51" t="n"/>
      <c r="L10" s="51" t="n"/>
    </row>
    <row r="11" ht="19.5" customHeight="1" s="155">
      <c r="A11" s="169" t="n"/>
      <c r="B11" s="166" t="inlineStr">
        <is>
          <t>C언어 2 (중급)</t>
        </is>
      </c>
      <c r="C11" s="161" t="n"/>
      <c r="D11" s="167" t="n">
        <v>1</v>
      </c>
      <c r="E11" s="71" t="inlineStr">
        <is>
          <t>평일 / 주말</t>
        </is>
      </c>
      <c r="F11" s="168" t="n">
        <v>400000</v>
      </c>
      <c r="G11" s="163" t="n"/>
      <c r="I11" s="164" t="n"/>
      <c r="J11" s="165" t="n"/>
      <c r="K11" s="51" t="n"/>
      <c r="L11" s="51" t="n"/>
    </row>
    <row r="12" ht="19.5" customHeight="1" s="155">
      <c r="A12" s="169" t="n"/>
      <c r="B12" s="166" t="inlineStr">
        <is>
          <t>자바 1 (기초)</t>
        </is>
      </c>
      <c r="C12" s="161" t="n"/>
      <c r="D12" s="167" t="n">
        <v>1</v>
      </c>
      <c r="E12" s="71" t="inlineStr">
        <is>
          <t>평일 / 주말</t>
        </is>
      </c>
      <c r="F12" s="168" t="n">
        <v>400000</v>
      </c>
      <c r="G12" s="163" t="n"/>
      <c r="I12" s="164" t="n"/>
      <c r="J12" s="165" t="n"/>
      <c r="K12" s="51" t="n"/>
      <c r="L12" s="51" t="n"/>
    </row>
    <row r="13" ht="19.5" customHeight="1" s="155">
      <c r="A13" s="169" t="n"/>
      <c r="B13" s="166" t="inlineStr">
        <is>
          <t>자바 2 (중급)</t>
        </is>
      </c>
      <c r="C13" s="161" t="n"/>
      <c r="D13" s="167" t="n">
        <v>1</v>
      </c>
      <c r="E13" s="71" t="inlineStr">
        <is>
          <t>평일 / 주말</t>
        </is>
      </c>
      <c r="F13" s="168" t="n">
        <v>400000</v>
      </c>
      <c r="G13" s="163" t="n"/>
      <c r="I13" s="164" t="n"/>
      <c r="J13" s="165" t="n"/>
      <c r="K13" s="51" t="n"/>
      <c r="L13" s="51" t="n"/>
    </row>
    <row r="14" ht="19.5" customFormat="1" customHeight="1" s="48">
      <c r="A14" s="169" t="n"/>
      <c r="B14" s="166" t="inlineStr">
        <is>
          <t>DBMS (SQL)</t>
        </is>
      </c>
      <c r="C14" s="161" t="n"/>
      <c r="D14" s="167" t="n">
        <v>1</v>
      </c>
      <c r="E14" s="71" t="inlineStr">
        <is>
          <t>평일 / 주말</t>
        </is>
      </c>
      <c r="F14" s="168" t="n">
        <v>500000</v>
      </c>
      <c r="G14" s="163" t="n"/>
      <c r="I14" s="164" t="n"/>
      <c r="J14" s="165" t="n"/>
      <c r="K14" s="51" t="n"/>
      <c r="L14" s="51" t="n"/>
    </row>
    <row r="15" ht="19.5" customHeight="1" s="155">
      <c r="A15" s="169" t="n"/>
      <c r="B15" s="166" t="inlineStr">
        <is>
          <t>정보처리기사 필기 (자격증 대비)</t>
        </is>
      </c>
      <c r="C15" s="161" t="n"/>
      <c r="D15" s="167" t="n">
        <v>1</v>
      </c>
      <c r="E15" s="71" t="inlineStr">
        <is>
          <t>주말</t>
        </is>
      </c>
      <c r="F15" s="168" t="n">
        <v>500000</v>
      </c>
      <c r="G15" s="163" t="n"/>
      <c r="I15" s="164" t="n"/>
      <c r="J15" s="165" t="n"/>
      <c r="K15" s="51" t="n"/>
      <c r="L15" s="51" t="n"/>
    </row>
    <row r="16" ht="19.5" customHeight="1" s="155">
      <c r="A16" s="169" t="n"/>
      <c r="B16" s="166" t="inlineStr">
        <is>
          <t>정보처리기사 실기 1 (자격증 대비)</t>
        </is>
      </c>
      <c r="C16" s="161" t="n"/>
      <c r="D16" s="167" t="n">
        <v>1</v>
      </c>
      <c r="E16" s="71" t="inlineStr">
        <is>
          <t>주말</t>
        </is>
      </c>
      <c r="F16" s="168" t="n">
        <v>500000</v>
      </c>
      <c r="G16" s="163" t="n"/>
      <c r="I16" s="48" t="n"/>
      <c r="J16" s="48" t="n"/>
      <c r="K16" s="48" t="n"/>
      <c r="L16" s="48" t="n"/>
    </row>
    <row r="17" ht="19.5" customHeight="1" s="155">
      <c r="A17" s="169" t="n"/>
      <c r="B17" s="166" t="inlineStr">
        <is>
          <t>정보처리기사 실기 2 (자격증 대비)</t>
        </is>
      </c>
      <c r="C17" s="161" t="n"/>
      <c r="D17" s="167" t="n">
        <v>1</v>
      </c>
      <c r="E17" s="71" t="inlineStr">
        <is>
          <t>주말</t>
        </is>
      </c>
      <c r="F17" s="168" t="n">
        <v>500000</v>
      </c>
      <c r="G17" s="163" t="n"/>
      <c r="I17" s="164" t="n"/>
      <c r="J17" s="165" t="n"/>
      <c r="K17" s="51" t="n"/>
      <c r="L17" s="51" t="n"/>
    </row>
    <row r="18" ht="33.6" customHeight="1" s="155">
      <c r="A18" s="93" t="inlineStr">
        <is>
          <t>따즈아</t>
        </is>
      </c>
      <c r="B18" s="94" t="inlineStr">
        <is>
          <t>온라인강의</t>
        </is>
      </c>
      <c r="C18" s="95" t="n">
        <v>500000</v>
      </c>
      <c r="D18" s="170">
        <f>SUM(D8:D17)</f>
        <v/>
      </c>
      <c r="E18" s="88" t="inlineStr">
        <is>
          <t>원수강료</t>
        </is>
      </c>
      <c r="F18" s="188">
        <f>SUM(F8:G17)</f>
        <v/>
      </c>
      <c r="G18" s="172" t="n"/>
      <c r="I18" s="48" t="n"/>
      <c r="J18" s="48" t="n"/>
      <c r="K18" s="48" t="n"/>
      <c r="L18" s="48" t="n"/>
    </row>
    <row r="19" ht="19.5" customHeight="1" s="155">
      <c r="A19" s="49" t="inlineStr">
        <is>
          <t>■ 교육과정 할인내역</t>
        </is>
      </c>
      <c r="B19" s="90" t="n"/>
      <c r="C19" s="91" t="n"/>
      <c r="D19" s="56" t="n"/>
      <c r="E19" s="56" t="n"/>
      <c r="F19" s="173" t="n"/>
      <c r="G19" s="160" t="n"/>
      <c r="I19" s="48" t="n"/>
      <c r="J19" s="48" t="n"/>
      <c r="K19" s="48" t="n"/>
      <c r="L19" s="48" t="n"/>
    </row>
    <row r="20" ht="19.5" customHeight="1" s="155">
      <c r="A20" s="50" t="inlineStr">
        <is>
          <t>세부할인 내역</t>
        </is>
      </c>
      <c r="B20" s="174" t="n"/>
      <c r="C20" s="161" t="n"/>
      <c r="D20" s="47" t="inlineStr">
        <is>
          <t>할인율(%)</t>
        </is>
      </c>
      <c r="E20" s="175" t="inlineStr">
        <is>
          <t>할인금액</t>
        </is>
      </c>
      <c r="F20" s="174" t="n"/>
      <c r="G20" s="163" t="n"/>
    </row>
    <row r="21" ht="19.5" customHeight="1" s="155">
      <c r="A21" s="176" t="inlineStr">
        <is>
          <t>할인
내역</t>
        </is>
      </c>
      <c r="B21" s="189" t="inlineStr">
        <is>
          <t>기초프로그래밍 패키지 할인</t>
        </is>
      </c>
      <c r="C21" s="161" t="n"/>
      <c r="D21" s="85" t="n">
        <v>0.15</v>
      </c>
      <c r="E21" s="177">
        <f>F18*D21</f>
        <v/>
      </c>
      <c r="F21" s="174" t="n"/>
      <c r="G21" s="163" t="n"/>
    </row>
    <row r="22" ht="19.5" customHeight="1" s="155">
      <c r="A22" s="169" t="n"/>
      <c r="B22" s="138" t="inlineStr">
        <is>
          <t>O월 이벤트할인 / 사전등록 추가할인 등</t>
        </is>
      </c>
      <c r="C22" s="174" t="n"/>
      <c r="D22" s="53" t="n">
        <v>0.1</v>
      </c>
      <c r="E22" s="178">
        <f>(F18*(1-D21)*D22)</f>
        <v/>
      </c>
      <c r="F22" s="174" t="n"/>
      <c r="G22" s="163" t="n"/>
      <c r="H22" s="48" t="n"/>
      <c r="I22" s="164" t="n"/>
      <c r="J22" s="165" t="n"/>
      <c r="K22" s="51" t="n"/>
      <c r="L22" s="51" t="n"/>
    </row>
    <row r="23" ht="19.5" customHeight="1" s="155">
      <c r="A23" s="179" t="n"/>
      <c r="B23" s="138" t="inlineStr">
        <is>
          <t>친구추천 할인 / 비전공자 할인 등</t>
        </is>
      </c>
      <c r="C23" s="174" t="n"/>
      <c r="D23" s="45" t="n">
        <v>0.05</v>
      </c>
      <c r="E23" s="177">
        <f>(F18*(1-D21)*(1-D22)*D23)</f>
        <v/>
      </c>
      <c r="F23" s="174" t="n"/>
      <c r="G23" s="163" t="n"/>
      <c r="H23" s="48" t="n"/>
      <c r="I23" s="164" t="n"/>
      <c r="J23" s="165" t="n"/>
      <c r="K23" s="51" t="n"/>
      <c r="L23" s="51" t="n"/>
    </row>
    <row r="24" ht="23.25" customHeight="1" s="155">
      <c r="A24" s="180" t="inlineStr">
        <is>
          <t xml:space="preserve">총 할인금액 (수강지원)  </t>
        </is>
      </c>
      <c r="B24" s="174" t="n"/>
      <c r="C24" s="161" t="n"/>
      <c r="D24" s="181">
        <f>ROUNDUP(SUM(E21:G23),-3)</f>
        <v/>
      </c>
      <c r="E24" s="174" t="n"/>
      <c r="F24" s="174" t="n"/>
      <c r="G24" s="163" t="n"/>
      <c r="H24" s="48" t="n"/>
      <c r="I24" s="48" t="n"/>
      <c r="J24" s="48" t="n"/>
      <c r="K24" s="48" t="n"/>
      <c r="L24" s="48" t="n"/>
    </row>
    <row r="25" ht="23.25" customHeight="1" s="155">
      <c r="A25" s="182" t="inlineStr">
        <is>
          <t xml:space="preserve">납부 해야할 수강료 (할인적용)  </t>
        </is>
      </c>
      <c r="B25" s="174" t="n"/>
      <c r="C25" s="161" t="n"/>
      <c r="D25" s="183">
        <f>F18-D24</f>
        <v/>
      </c>
      <c r="E25" s="174" t="n"/>
      <c r="F25" s="174" t="n"/>
      <c r="G25" s="163" t="n"/>
      <c r="H25" s="48" t="n"/>
      <c r="I25" s="48" t="n"/>
      <c r="J25" s="48" t="n"/>
      <c r="K25" s="48" t="n"/>
      <c r="L25" s="48" t="n"/>
    </row>
    <row r="26" ht="23.25" customFormat="1" customHeight="1" s="48">
      <c r="A26" s="182" t="inlineStr">
        <is>
          <t>총 등록금액</t>
        </is>
      </c>
      <c r="B26" s="174" t="n"/>
      <c r="C26" s="161" t="n"/>
      <c r="D26" s="183">
        <f>SUM(D25+C18)</f>
        <v/>
      </c>
      <c r="E26" s="174" t="n"/>
      <c r="F26" s="174" t="n"/>
      <c r="G26" s="163" t="n"/>
      <c r="H26" s="48" t="n"/>
    </row>
    <row r="27" ht="23.25" customFormat="1" customHeight="1" s="48">
      <c r="A27" s="182" t="inlineStr">
        <is>
          <t>3개월 할부 진행시</t>
        </is>
      </c>
      <c r="B27" s="174" t="n"/>
      <c r="C27" s="161" t="n"/>
      <c r="D27" s="184">
        <f>SUM(D26/3)</f>
        <v/>
      </c>
      <c r="E27" s="174" t="n"/>
      <c r="F27" s="174" t="n"/>
      <c r="G27" s="163" t="n"/>
      <c r="H27" s="48" t="n"/>
    </row>
    <row r="28" ht="23.25" customFormat="1" customHeight="1" s="48">
      <c r="A28" s="182" t="inlineStr">
        <is>
          <t>6개월 할부 진행시</t>
        </is>
      </c>
      <c r="B28" s="174" t="n"/>
      <c r="C28" s="161" t="n"/>
      <c r="D28" s="184">
        <f>SUM(D26/6)</f>
        <v/>
      </c>
      <c r="E28" s="174" t="n"/>
      <c r="F28" s="174" t="n"/>
      <c r="G28" s="163" t="n"/>
      <c r="H28" s="48" t="n"/>
    </row>
    <row r="29" ht="23.25" customFormat="1" customHeight="1" s="48">
      <c r="A29" s="182" t="inlineStr">
        <is>
          <t>1과목당 수강료</t>
        </is>
      </c>
      <c r="B29" s="174" t="n"/>
      <c r="C29" s="161" t="n"/>
      <c r="D29" s="184">
        <f>SUM(D25/D18)</f>
        <v/>
      </c>
      <c r="E29" s="174" t="n"/>
      <c r="F29" s="174" t="n"/>
      <c r="G29" s="163" t="n"/>
      <c r="H29" s="48" t="n"/>
    </row>
    <row r="30" ht="23.25" customFormat="1" customHeight="1" s="48">
      <c r="A30" s="190" t="inlineStr">
        <is>
          <t>★ 당일등록시 혜택 : 000 지원 ★</t>
        </is>
      </c>
      <c r="B30" s="174" t="n"/>
      <c r="C30" s="174" t="n"/>
      <c r="D30" s="174" t="n"/>
      <c r="E30" s="174" t="n"/>
      <c r="F30" s="174" t="n"/>
      <c r="G30" s="163" t="n"/>
      <c r="H30" s="48" t="n"/>
    </row>
    <row r="31" ht="16.5" customFormat="1" customHeight="1" s="48">
      <c r="A31" s="55" t="n"/>
      <c r="B31" s="119" t="n"/>
      <c r="G31" s="54" t="n"/>
      <c r="I31" s="52" t="n"/>
    </row>
    <row r="32" ht="16.5" customFormat="1" customHeight="1" s="48">
      <c r="A32" s="64" t="inlineStr">
        <is>
          <t>■ 안내사항</t>
        </is>
      </c>
      <c r="B32" s="119" t="n"/>
      <c r="C32" s="119" t="n"/>
      <c r="D32" s="119" t="n"/>
      <c r="E32" s="119" t="n"/>
      <c r="F32" s="119" t="n"/>
      <c r="G32" s="54" t="n"/>
      <c r="I32" s="52" t="n"/>
    </row>
    <row r="33" ht="16.5" customFormat="1" customHeight="1" s="48">
      <c r="A33" s="55" t="inlineStr">
        <is>
          <t xml:space="preserve">   1) 위 수강료는 학원내 게시되어 있는 수강료 기준이며, 교육청에 신고된 금액입니다.</t>
        </is>
      </c>
      <c r="B33" s="119" t="n"/>
      <c r="C33" s="119" t="n"/>
      <c r="D33" s="119" t="n"/>
      <c r="E33" s="119" t="n"/>
      <c r="F33" s="119" t="n"/>
      <c r="G33" s="54" t="n"/>
    </row>
    <row r="34" ht="16.5" customFormat="1" customHeight="1" s="48">
      <c r="A34" s="55" t="inlineStr">
        <is>
          <t xml:space="preserve">   2) 위 할인내역은 해당사항에 한해 적용되며, 할인내용에 해당될 시 증명서류를 증빙해야 할인 받을 수 있습니다.</t>
        </is>
      </c>
      <c r="B34" s="119" t="n"/>
      <c r="C34" s="119" t="n"/>
      <c r="D34" s="119" t="n"/>
      <c r="E34" s="119" t="n"/>
      <c r="F34" s="119" t="n"/>
      <c r="G34" s="54" t="n"/>
    </row>
    <row r="35" ht="16.5" customFormat="1" customHeight="1" s="48">
      <c r="A35" s="55" t="inlineStr">
        <is>
          <t xml:space="preserve">   3) 할인금액은 수강과목지원(무료)으로 진행됩니다.</t>
        </is>
      </c>
      <c r="B35" s="56" t="n"/>
      <c r="C35" s="56" t="n"/>
      <c r="D35" s="57" t="n"/>
      <c r="E35" s="57" t="n"/>
      <c r="F35" s="58" t="n"/>
      <c r="G35" s="59" t="n"/>
      <c r="I35" s="48" t="n"/>
      <c r="J35" s="48" t="n"/>
      <c r="K35" s="48" t="n"/>
      <c r="L35" s="48" t="n"/>
    </row>
    <row r="36" ht="16.5" customFormat="1" customHeight="1" s="48">
      <c r="A36" s="55" t="n"/>
      <c r="B36" s="56" t="n"/>
      <c r="C36" s="56" t="n"/>
      <c r="D36" s="57" t="n"/>
      <c r="E36" s="57" t="n"/>
      <c r="F36" s="58" t="n"/>
      <c r="G36" s="59" t="n"/>
      <c r="I36" s="48" t="n"/>
      <c r="J36" s="48" t="n"/>
      <c r="K36" s="48" t="n"/>
      <c r="L36" s="48" t="n"/>
    </row>
    <row r="37" ht="16.5" customFormat="1" customHeight="1" s="48">
      <c r="A37" s="64" t="inlineStr">
        <is>
          <t>■ 수강료 납부 안내</t>
        </is>
      </c>
      <c r="B37" s="60" t="n"/>
      <c r="C37" s="60" t="n"/>
      <c r="D37" s="61" t="n"/>
      <c r="E37" s="61" t="n"/>
      <c r="F37" s="61" t="n"/>
      <c r="G37" s="62" t="n"/>
      <c r="I37" s="48" t="n"/>
      <c r="J37" s="48" t="n"/>
      <c r="K37" s="48" t="n"/>
      <c r="L37" s="48" t="n"/>
    </row>
    <row r="38" ht="16.5" customFormat="1" customHeight="1" s="48">
      <c r="A38" s="55" t="inlineStr">
        <is>
          <t xml:space="preserve">    1) 현금수납 - 학원 안내접수처에서 접수 및 결제(현금영수증 발행)</t>
        </is>
      </c>
      <c r="B38" s="63" t="n"/>
      <c r="C38" s="63" t="n"/>
      <c r="D38" s="61" t="n"/>
      <c r="E38" s="61" t="n"/>
      <c r="F38" s="61" t="n"/>
      <c r="G38" s="62" t="n"/>
      <c r="I38" s="48" t="n"/>
      <c r="J38" s="48" t="n"/>
      <c r="K38" s="48" t="n"/>
      <c r="L38" s="48" t="n"/>
    </row>
    <row r="39" ht="16.5" customFormat="1" customHeight="1" s="48">
      <c r="A39" s="55" t="inlineStr">
        <is>
          <t xml:space="preserve">    2) 온라인입금(계좌이체) 결제(현금영수증 발행)</t>
        </is>
      </c>
      <c r="B39" s="63" t="n"/>
      <c r="C39" s="63" t="n"/>
      <c r="D39" s="61" t="n"/>
      <c r="E39" s="61" t="n"/>
      <c r="F39" s="61" t="n"/>
      <c r="G39" s="62" t="n"/>
      <c r="I39" s="48" t="n"/>
      <c r="J39" s="48" t="n"/>
      <c r="K39" s="48" t="n"/>
      <c r="L39" s="48" t="n"/>
    </row>
    <row r="40" ht="16.5" customFormat="1" customHeight="1" s="48">
      <c r="A40" s="64" t="inlineStr">
        <is>
          <t xml:space="preserve">           기업은행 064-166274-04-024 (주)코리아아이티아카데미대전 </t>
        </is>
      </c>
      <c r="B40" s="65" t="n"/>
      <c r="C40" s="65" t="n"/>
      <c r="D40" s="61" t="n"/>
      <c r="E40" s="61" t="n"/>
      <c r="F40" s="61" t="n"/>
      <c r="G40" s="62" t="n"/>
      <c r="I40" s="48" t="n"/>
      <c r="J40" s="48" t="n"/>
      <c r="K40" s="48" t="n"/>
      <c r="L40" s="48" t="n"/>
    </row>
    <row r="41" ht="16.5" customFormat="1" customHeight="1" s="48">
      <c r="A41" s="55" t="inlineStr">
        <is>
          <t xml:space="preserve">    3) 카드수납 - 학원 안내접수처에서 접수 및 결제 or 카드번호 결제(키인결제)</t>
        </is>
      </c>
      <c r="B41" s="66" t="n"/>
      <c r="C41" s="66" t="n"/>
      <c r="D41" s="61" t="n"/>
      <c r="E41" s="61" t="n"/>
      <c r="F41" s="61" t="n"/>
      <c r="G41" s="62" t="n"/>
      <c r="I41" s="48" t="n"/>
      <c r="J41" s="48" t="n"/>
      <c r="K41" s="48" t="n"/>
      <c r="L41" s="48" t="n"/>
    </row>
    <row r="42" ht="16.5" customFormat="1" customHeight="1" s="48">
      <c r="A42" s="55" t="inlineStr">
        <is>
          <t xml:space="preserve">                     - 학원 홈페이지(모바일, PC) 결제 &gt; 담당멘토 문의</t>
        </is>
      </c>
      <c r="B42" s="66" t="n"/>
      <c r="C42" s="66" t="n"/>
      <c r="D42" s="61" t="n"/>
      <c r="E42" s="61" t="n"/>
      <c r="F42" s="61" t="n"/>
      <c r="G42" s="62" t="n"/>
      <c r="I42" s="48" t="n"/>
      <c r="J42" s="48" t="n"/>
      <c r="K42" s="48" t="n"/>
      <c r="L42" s="48" t="n"/>
    </row>
    <row r="43" customFormat="1" s="48">
      <c r="A43" s="55" t="inlineStr">
        <is>
          <t xml:space="preserve">      * 카드사별 무이자 할부 혜택 상이함</t>
        </is>
      </c>
      <c r="B43" s="67" t="n"/>
      <c r="C43" s="67" t="n"/>
      <c r="D43" s="61" t="n"/>
      <c r="E43" s="61" t="n"/>
      <c r="F43" s="61" t="n"/>
      <c r="G43" s="62" t="n"/>
      <c r="I43" s="48" t="n"/>
      <c r="J43" s="48" t="n"/>
      <c r="K43" s="48" t="n"/>
      <c r="L43" s="48" t="n"/>
    </row>
  </sheetData>
  <mergeCells count="50">
    <mergeCell ref="A25:C25"/>
    <mergeCell ref="F4:G4"/>
    <mergeCell ref="F11:G11"/>
    <mergeCell ref="B16:C16"/>
    <mergeCell ref="A21:A23"/>
    <mergeCell ref="B7:C7"/>
    <mergeCell ref="F10:G10"/>
    <mergeCell ref="F16:G16"/>
    <mergeCell ref="D25:G25"/>
    <mergeCell ref="F19:G19"/>
    <mergeCell ref="D24:G24"/>
    <mergeCell ref="A27:C27"/>
    <mergeCell ref="B22:C22"/>
    <mergeCell ref="B31:F31"/>
    <mergeCell ref="D29:G29"/>
    <mergeCell ref="A26:C26"/>
    <mergeCell ref="F7:G7"/>
    <mergeCell ref="B12:C12"/>
    <mergeCell ref="B21:C21"/>
    <mergeCell ref="F12:G12"/>
    <mergeCell ref="D26:G26"/>
    <mergeCell ref="B11:C11"/>
    <mergeCell ref="F15:G15"/>
    <mergeCell ref="F18:G18"/>
    <mergeCell ref="B23:C23"/>
    <mergeCell ref="A30:G30"/>
    <mergeCell ref="B14:C14"/>
    <mergeCell ref="B17:C17"/>
    <mergeCell ref="A29:C29"/>
    <mergeCell ref="B8:C8"/>
    <mergeCell ref="A20:C20"/>
    <mergeCell ref="F17:G17"/>
    <mergeCell ref="F8:G8"/>
    <mergeCell ref="B13:C13"/>
    <mergeCell ref="A28:C28"/>
    <mergeCell ref="A1:G3"/>
    <mergeCell ref="E22:G22"/>
    <mergeCell ref="B10:C10"/>
    <mergeCell ref="E20:G20"/>
    <mergeCell ref="E21:G21"/>
    <mergeCell ref="F13:G13"/>
    <mergeCell ref="B9:C9"/>
    <mergeCell ref="D27:G27"/>
    <mergeCell ref="A24:C24"/>
    <mergeCell ref="F9:G9"/>
    <mergeCell ref="B15:C15"/>
    <mergeCell ref="E23:G23"/>
    <mergeCell ref="F14:G14"/>
    <mergeCell ref="A8:A17"/>
    <mergeCell ref="D28:G28"/>
  </mergeCells>
  <pageMargins left="0.7" right="0.7" top="0.75" bottom="0.75" header="0.3" footer="0.3"/>
  <pageSetup orientation="portrait" paperSize="9" scale="8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L35"/>
  <sheetViews>
    <sheetView view="pageBreakPreview" zoomScaleNormal="100" zoomScaleSheetLayoutView="100" workbookViewId="0">
      <selection activeCell="A21" sqref="A21:G22"/>
    </sheetView>
  </sheetViews>
  <sheetFormatPr baseColWidth="8" defaultColWidth="8.88671875" defaultRowHeight="13.5"/>
  <cols>
    <col width="8.88671875" customWidth="1" style="48" min="1" max="1"/>
    <col width="29.21875" customWidth="1" style="48" min="2" max="2"/>
    <col width="14.5546875" customWidth="1" style="48" min="3" max="3"/>
    <col width="11.6640625" bestFit="1" customWidth="1" style="48" min="4" max="4"/>
    <col width="10.77734375" customWidth="1" style="48" min="5" max="5"/>
    <col width="8.109375" customWidth="1" style="48" min="6" max="6"/>
    <col width="10.5546875" customWidth="1" style="48" min="7" max="7"/>
    <col width="5.6640625" customWidth="1" style="48" min="8" max="8"/>
    <col width="21.6640625" bestFit="1" customWidth="1" style="48" min="9" max="9"/>
    <col width="19.44140625" bestFit="1" customWidth="1" style="48" min="10" max="10"/>
    <col width="20" bestFit="1" customWidth="1" style="48" min="11" max="11"/>
    <col width="19.44140625" bestFit="1" customWidth="1" style="48" min="12" max="12"/>
    <col width="8.88671875" customWidth="1" style="48" min="13" max="16384"/>
  </cols>
  <sheetData>
    <row r="1" ht="13.5" customHeight="1" s="155">
      <c r="A1" s="156" t="inlineStr">
        <is>
          <t>코리아 IT아카데미 교육과정 수강료 안내</t>
        </is>
      </c>
      <c r="B1" s="157" t="n"/>
      <c r="C1" s="157" t="n"/>
      <c r="D1" s="157" t="n"/>
      <c r="E1" s="157" t="n"/>
      <c r="F1" s="157" t="n"/>
      <c r="G1" s="158" t="n"/>
    </row>
    <row r="2" ht="13.5" customHeight="1" s="155">
      <c r="A2" s="159" t="n"/>
      <c r="G2" s="160" t="n"/>
    </row>
    <row r="3" ht="13.5" customHeight="1" s="155">
      <c r="A3" s="159" t="n"/>
      <c r="G3" s="160" t="n"/>
    </row>
    <row r="4" ht="27" customHeight="1" s="155">
      <c r="A4" s="79" t="n"/>
      <c r="B4" s="80" t="n"/>
      <c r="C4" s="76" t="n"/>
      <c r="D4" s="72" t="n"/>
      <c r="E4" s="73" t="n"/>
      <c r="F4" s="104" t="n"/>
      <c r="G4" s="160" t="n"/>
    </row>
    <row r="5" ht="27" customHeight="1" s="155">
      <c r="A5" s="79" t="n"/>
      <c r="B5" s="80" t="n"/>
      <c r="C5" s="82" t="inlineStr">
        <is>
          <t xml:space="preserve">상 담 일 자 : </t>
        </is>
      </c>
      <c r="D5" s="83">
        <f>TODAY()</f>
        <v/>
      </c>
      <c r="E5" s="84" t="inlineStr">
        <is>
          <t xml:space="preserve">상 담 자 : </t>
        </is>
      </c>
      <c r="F5" s="75" t="inlineStr">
        <is>
          <t>김동우 교육멘토</t>
        </is>
      </c>
      <c r="G5" s="78" t="n"/>
    </row>
    <row r="6" ht="19.5" customHeight="1" s="155">
      <c r="A6" s="74" t="inlineStr">
        <is>
          <t xml:space="preserve">■  과정 및 수강료                              </t>
        </is>
      </c>
      <c r="B6" s="75" t="n"/>
      <c r="C6" s="76" t="n"/>
      <c r="D6" s="77" t="n"/>
      <c r="E6" s="82" t="inlineStr">
        <is>
          <t xml:space="preserve">연 락 처 : </t>
        </is>
      </c>
      <c r="F6" s="75" t="inlineStr">
        <is>
          <t>042-369-5815</t>
        </is>
      </c>
      <c r="G6" s="81" t="n"/>
    </row>
    <row r="7" ht="19.5" customHeight="1" s="155">
      <c r="A7" s="50" t="inlineStr">
        <is>
          <t>과 정</t>
        </is>
      </c>
      <c r="B7" s="47" t="inlineStr">
        <is>
          <t>과목명</t>
        </is>
      </c>
      <c r="C7" s="161" t="n"/>
      <c r="D7" s="47" t="inlineStr">
        <is>
          <t>COURSE</t>
        </is>
      </c>
      <c r="E7" s="47" t="inlineStr">
        <is>
          <t>TIME</t>
        </is>
      </c>
      <c r="F7" s="162" t="inlineStr">
        <is>
          <t>수강료</t>
        </is>
      </c>
      <c r="G7" s="163" t="n"/>
      <c r="I7" s="164" t="n"/>
      <c r="J7" s="165" t="n"/>
      <c r="K7" s="51" t="n"/>
      <c r="L7" s="51" t="n"/>
    </row>
    <row r="8" ht="19.5" customHeight="1" s="155">
      <c r="A8" s="120" t="inlineStr">
        <is>
          <t>자격증
과정</t>
        </is>
      </c>
      <c r="B8" s="191" t="inlineStr">
        <is>
          <t>CCNA 1 (자격증)</t>
        </is>
      </c>
      <c r="C8" s="192" t="n"/>
      <c r="D8" s="167" t="n">
        <v>1</v>
      </c>
      <c r="E8" s="71" t="inlineStr">
        <is>
          <t>주말</t>
        </is>
      </c>
      <c r="F8" s="168" t="n">
        <v>500000</v>
      </c>
      <c r="G8" s="163" t="n"/>
      <c r="I8" s="164" t="n"/>
      <c r="J8" s="165" t="n"/>
      <c r="K8" s="51" t="n"/>
      <c r="L8" s="51" t="n"/>
    </row>
    <row r="9" ht="19.5" customHeight="1" s="155">
      <c r="A9" s="169" t="n"/>
      <c r="B9" s="191" t="inlineStr">
        <is>
          <t>CCNA 2 (자격증)</t>
        </is>
      </c>
      <c r="C9" s="192" t="n"/>
      <c r="D9" s="167" t="n">
        <v>1</v>
      </c>
      <c r="E9" s="71" t="inlineStr">
        <is>
          <t>주말</t>
        </is>
      </c>
      <c r="F9" s="168" t="n">
        <v>500000</v>
      </c>
      <c r="G9" s="163" t="n"/>
      <c r="I9" s="164" t="n"/>
      <c r="J9" s="165" t="n"/>
      <c r="K9" s="51" t="n"/>
      <c r="L9" s="51" t="n"/>
    </row>
    <row r="10" ht="33.6" customHeight="1" s="155">
      <c r="A10" s="93" t="inlineStr">
        <is>
          <t>따즈아</t>
        </is>
      </c>
      <c r="B10" s="94" t="inlineStr">
        <is>
          <t>온라인강의</t>
        </is>
      </c>
      <c r="C10" s="95" t="n">
        <v>500000</v>
      </c>
      <c r="D10" s="193">
        <f>SUM(D8:D9)</f>
        <v/>
      </c>
      <c r="E10" s="87" t="inlineStr">
        <is>
          <t>원수강료</t>
        </is>
      </c>
      <c r="F10" s="171">
        <f>SUM(F8:G9)</f>
        <v/>
      </c>
      <c r="G10" s="172" t="n"/>
      <c r="I10" s="48" t="n"/>
      <c r="J10" s="48" t="n"/>
      <c r="K10" s="48" t="n"/>
      <c r="L10" s="48" t="n"/>
    </row>
    <row r="11" ht="19.5" customHeight="1" s="155">
      <c r="A11" s="49" t="inlineStr">
        <is>
          <t>■ 교육과정 할인내역</t>
        </is>
      </c>
      <c r="B11" s="90" t="n"/>
      <c r="C11" s="91" t="n"/>
      <c r="D11" s="56" t="n"/>
      <c r="E11" s="56" t="n"/>
      <c r="F11" s="173" t="n"/>
      <c r="G11" s="160" t="n"/>
      <c r="I11" s="48" t="n"/>
      <c r="J11" s="48" t="n"/>
      <c r="K11" s="48" t="n"/>
      <c r="L11" s="48" t="n"/>
    </row>
    <row r="12" ht="19.5" customHeight="1" s="155">
      <c r="A12" s="50" t="inlineStr">
        <is>
          <t>세부할인 내역</t>
        </is>
      </c>
      <c r="B12" s="174" t="n"/>
      <c r="C12" s="161" t="n"/>
      <c r="D12" s="47" t="inlineStr">
        <is>
          <t>할인율(%)</t>
        </is>
      </c>
      <c r="E12" s="175" t="inlineStr">
        <is>
          <t>할인금액</t>
        </is>
      </c>
      <c r="F12" s="174" t="n"/>
      <c r="G12" s="163" t="n"/>
    </row>
    <row r="13" ht="19.5" customHeight="1" s="155">
      <c r="A13" s="176" t="inlineStr">
        <is>
          <t>할인
내역</t>
        </is>
      </c>
      <c r="B13" s="189" t="inlineStr">
        <is>
          <t>기초프로그래밍 패키지 할인</t>
        </is>
      </c>
      <c r="C13" s="161" t="n"/>
      <c r="D13" s="85" t="n">
        <v>0.15</v>
      </c>
      <c r="E13" s="177">
        <f>F10*D13</f>
        <v/>
      </c>
      <c r="F13" s="174" t="n"/>
      <c r="G13" s="163" t="n"/>
    </row>
    <row r="14" ht="19.5" customHeight="1" s="155">
      <c r="A14" s="169" t="n"/>
      <c r="B14" s="138" t="inlineStr">
        <is>
          <t>O월 이벤트할인 / 사전등록 추가할인 등</t>
        </is>
      </c>
      <c r="C14" s="174" t="n"/>
      <c r="D14" s="53" t="n">
        <v>0.1</v>
      </c>
      <c r="E14" s="178">
        <f>(F10*(1-D13)*D14)</f>
        <v/>
      </c>
      <c r="F14" s="174" t="n"/>
      <c r="G14" s="163" t="n"/>
      <c r="H14" s="48" t="n"/>
      <c r="I14" s="164" t="n"/>
      <c r="J14" s="165" t="n"/>
      <c r="K14" s="51" t="n"/>
      <c r="L14" s="51" t="n"/>
    </row>
    <row r="15" ht="19.5" customHeight="1" s="155">
      <c r="A15" s="179" t="n"/>
      <c r="B15" s="138" t="inlineStr">
        <is>
          <t>친구추천 할인 / 비전공자 할인 등</t>
        </is>
      </c>
      <c r="C15" s="174" t="n"/>
      <c r="D15" s="45" t="n">
        <v>0.05</v>
      </c>
      <c r="E15" s="177">
        <f>(F10*(1-D13)*(1-D14)*D15)</f>
        <v/>
      </c>
      <c r="F15" s="174" t="n"/>
      <c r="G15" s="163" t="n"/>
      <c r="H15" s="48" t="n"/>
      <c r="I15" s="164" t="n"/>
      <c r="J15" s="165" t="n"/>
      <c r="K15" s="51" t="n"/>
      <c r="L15" s="51" t="n"/>
    </row>
    <row r="16" ht="23.25" customHeight="1" s="155">
      <c r="A16" s="180" t="inlineStr">
        <is>
          <t xml:space="preserve">총 할인금액 (수강지원)  </t>
        </is>
      </c>
      <c r="B16" s="174" t="n"/>
      <c r="C16" s="161" t="n"/>
      <c r="D16" s="181">
        <f>ROUNDUP(SUM(E13:G15),-3)</f>
        <v/>
      </c>
      <c r="E16" s="174" t="n"/>
      <c r="F16" s="174" t="n"/>
      <c r="G16" s="163" t="n"/>
      <c r="H16" s="48" t="n"/>
      <c r="I16" s="48" t="n"/>
      <c r="J16" s="48" t="n"/>
      <c r="K16" s="48" t="n"/>
      <c r="L16" s="48" t="n"/>
    </row>
    <row r="17" ht="23.25" customHeight="1" s="155">
      <c r="A17" s="182" t="inlineStr">
        <is>
          <t xml:space="preserve">납부 해야할 수강료 (할인적용)  </t>
        </is>
      </c>
      <c r="B17" s="174" t="n"/>
      <c r="C17" s="161" t="n"/>
      <c r="D17" s="183">
        <f>F10-D16</f>
        <v/>
      </c>
      <c r="E17" s="174" t="n"/>
      <c r="F17" s="174" t="n"/>
      <c r="G17" s="163" t="n"/>
      <c r="H17" s="48" t="n"/>
      <c r="I17" s="48" t="n"/>
      <c r="J17" s="48" t="n"/>
      <c r="K17" s="48" t="n"/>
      <c r="L17" s="48" t="n"/>
    </row>
    <row r="18" ht="23.25" customFormat="1" customHeight="1" s="48">
      <c r="A18" s="182" t="inlineStr">
        <is>
          <t>총 등록금액</t>
        </is>
      </c>
      <c r="B18" s="174" t="n"/>
      <c r="C18" s="161" t="n"/>
      <c r="D18" s="183">
        <f>SUM(D17+C10)</f>
        <v/>
      </c>
      <c r="E18" s="174" t="n"/>
      <c r="F18" s="174" t="n"/>
      <c r="G18" s="163" t="n"/>
      <c r="H18" s="48" t="n"/>
    </row>
    <row r="19" ht="23.25" customFormat="1" customHeight="1" s="48">
      <c r="A19" s="182" t="inlineStr">
        <is>
          <t>3개월 할부 진행시</t>
        </is>
      </c>
      <c r="B19" s="174" t="n"/>
      <c r="C19" s="161" t="n"/>
      <c r="D19" s="184">
        <f>SUM(D18/3)</f>
        <v/>
      </c>
      <c r="E19" s="174" t="n"/>
      <c r="F19" s="174" t="n"/>
      <c r="G19" s="163" t="n"/>
      <c r="H19" s="48" t="n"/>
    </row>
    <row r="20" ht="23.25" customFormat="1" customHeight="1" s="48">
      <c r="A20" s="182" t="inlineStr">
        <is>
          <t>6개월 할부 진행시</t>
        </is>
      </c>
      <c r="B20" s="174" t="n"/>
      <c r="C20" s="161" t="n"/>
      <c r="D20" s="184">
        <f>SUM(D18/6)</f>
        <v/>
      </c>
      <c r="E20" s="174" t="n"/>
      <c r="F20" s="174" t="n"/>
      <c r="G20" s="163" t="n"/>
      <c r="H20" s="48" t="n"/>
    </row>
    <row r="21" ht="23.25" customFormat="1" customHeight="1" s="48">
      <c r="A21" s="182" t="inlineStr">
        <is>
          <t>1과목당 수강료</t>
        </is>
      </c>
      <c r="B21" s="174" t="n"/>
      <c r="C21" s="161" t="n"/>
      <c r="D21" s="184">
        <f>SUM(D17/D10)</f>
        <v/>
      </c>
      <c r="E21" s="174" t="n"/>
      <c r="F21" s="174" t="n"/>
      <c r="G21" s="163" t="n"/>
      <c r="H21" s="48" t="n"/>
    </row>
    <row r="22" ht="23.25" customFormat="1" customHeight="1" s="48">
      <c r="A22" s="190" t="inlineStr">
        <is>
          <t>★ 당일등록시 혜택 : 000 지원 ★</t>
        </is>
      </c>
      <c r="B22" s="174" t="n"/>
      <c r="C22" s="174" t="n"/>
      <c r="D22" s="174" t="n"/>
      <c r="E22" s="174" t="n"/>
      <c r="F22" s="174" t="n"/>
      <c r="G22" s="163" t="n"/>
      <c r="H22" s="48" t="n"/>
    </row>
    <row r="23" ht="16.5" customFormat="1" customHeight="1" s="48">
      <c r="A23" s="55" t="n"/>
      <c r="B23" s="119" t="n"/>
      <c r="G23" s="54" t="n"/>
      <c r="I23" s="52" t="n"/>
    </row>
    <row r="24" ht="16.5" customFormat="1" customHeight="1" s="48">
      <c r="A24" s="64" t="inlineStr">
        <is>
          <t>■ 안내사항</t>
        </is>
      </c>
      <c r="B24" s="119" t="n"/>
      <c r="C24" s="119" t="n"/>
      <c r="D24" s="119" t="n"/>
      <c r="E24" s="119" t="n"/>
      <c r="F24" s="119" t="n"/>
      <c r="G24" s="54" t="n"/>
      <c r="I24" s="52" t="n"/>
    </row>
    <row r="25" ht="16.5" customFormat="1" customHeight="1" s="48">
      <c r="A25" s="55" t="inlineStr">
        <is>
          <t xml:space="preserve">   1) 위 수강료는 학원내 게시되어 있는 수강료 기준이며, 교육청에 신고된 금액입니다.</t>
        </is>
      </c>
      <c r="B25" s="119" t="n"/>
      <c r="C25" s="119" t="n"/>
      <c r="D25" s="119" t="n"/>
      <c r="E25" s="119" t="n"/>
      <c r="F25" s="119" t="n"/>
      <c r="G25" s="54" t="n"/>
    </row>
    <row r="26" ht="16.5" customFormat="1" customHeight="1" s="48">
      <c r="A26" s="55" t="inlineStr">
        <is>
          <t xml:space="preserve">   2) 위 할인내역은 해당사항에 한해 적용되며, 할인내용에 해당될 시 증명서류를 증빙해야 할인 받을 수 있습니다.</t>
        </is>
      </c>
      <c r="B26" s="119" t="n"/>
      <c r="C26" s="119" t="n"/>
      <c r="D26" s="119" t="n"/>
      <c r="E26" s="119" t="n"/>
      <c r="F26" s="119" t="n"/>
      <c r="G26" s="54" t="n"/>
    </row>
    <row r="27" ht="16.5" customFormat="1" customHeight="1" s="48">
      <c r="A27" s="55" t="inlineStr">
        <is>
          <t xml:space="preserve">   3) 할인금액은 수강과목지원(무료)으로 진행됩니다.</t>
        </is>
      </c>
      <c r="B27" s="56" t="n"/>
      <c r="C27" s="56" t="n"/>
      <c r="D27" s="57" t="n"/>
      <c r="E27" s="57" t="n"/>
      <c r="F27" s="58" t="n"/>
      <c r="G27" s="59" t="n"/>
      <c r="I27" s="48" t="n"/>
      <c r="J27" s="48" t="n"/>
      <c r="K27" s="48" t="n"/>
      <c r="L27" s="48" t="n"/>
    </row>
    <row r="28" ht="16.5" customFormat="1" customHeight="1" s="48">
      <c r="A28" s="55" t="n"/>
      <c r="B28" s="56" t="n"/>
      <c r="C28" s="56" t="n"/>
      <c r="D28" s="57" t="n"/>
      <c r="E28" s="57" t="n"/>
      <c r="F28" s="58" t="n"/>
      <c r="G28" s="59" t="n"/>
      <c r="I28" s="48" t="n"/>
      <c r="J28" s="48" t="n"/>
      <c r="K28" s="48" t="n"/>
      <c r="L28" s="48" t="n"/>
    </row>
    <row r="29" ht="16.5" customFormat="1" customHeight="1" s="48">
      <c r="A29" s="64" t="inlineStr">
        <is>
          <t>■ 수강료 납부 안내</t>
        </is>
      </c>
      <c r="B29" s="60" t="n"/>
      <c r="C29" s="60" t="n"/>
      <c r="D29" s="61" t="n"/>
      <c r="E29" s="61" t="n"/>
      <c r="F29" s="61" t="n"/>
      <c r="G29" s="62" t="n"/>
      <c r="I29" s="48" t="n"/>
      <c r="J29" s="48" t="n"/>
      <c r="K29" s="48" t="n"/>
      <c r="L29" s="48" t="n"/>
    </row>
    <row r="30" ht="16.5" customFormat="1" customHeight="1" s="48">
      <c r="A30" s="55" t="inlineStr">
        <is>
          <t xml:space="preserve">    1) 현금수납 - 학원 안내접수처에서 접수 및 결제(현금영수증 발행)</t>
        </is>
      </c>
      <c r="B30" s="63" t="n"/>
      <c r="C30" s="63" t="n"/>
      <c r="D30" s="61" t="n"/>
      <c r="E30" s="61" t="n"/>
      <c r="F30" s="61" t="n"/>
      <c r="G30" s="62" t="n"/>
      <c r="I30" s="48" t="n"/>
      <c r="J30" s="48" t="n"/>
      <c r="K30" s="48" t="n"/>
      <c r="L30" s="48" t="n"/>
    </row>
    <row r="31" ht="16.5" customFormat="1" customHeight="1" s="48">
      <c r="A31" s="55" t="inlineStr">
        <is>
          <t xml:space="preserve">    2) 온라인입금(계좌이체) 결제(현금영수증 발행)</t>
        </is>
      </c>
      <c r="B31" s="63" t="n"/>
      <c r="C31" s="63" t="n"/>
      <c r="D31" s="61" t="n"/>
      <c r="E31" s="61" t="n"/>
      <c r="F31" s="61" t="n"/>
      <c r="G31" s="62" t="n"/>
      <c r="I31" s="48" t="n"/>
      <c r="J31" s="48" t="n"/>
      <c r="K31" s="48" t="n"/>
      <c r="L31" s="48" t="n"/>
    </row>
    <row r="32" ht="16.5" customFormat="1" customHeight="1" s="48">
      <c r="A32" s="64" t="inlineStr">
        <is>
          <t xml:space="preserve">           기업은행 064-166274-04-024 (주)코리아아이티아카데미대전 </t>
        </is>
      </c>
      <c r="B32" s="65" t="n"/>
      <c r="C32" s="65" t="n"/>
      <c r="D32" s="61" t="n"/>
      <c r="E32" s="61" t="n"/>
      <c r="F32" s="61" t="n"/>
      <c r="G32" s="62" t="n"/>
      <c r="I32" s="48" t="n"/>
      <c r="J32" s="48" t="n"/>
      <c r="K32" s="48" t="n"/>
      <c r="L32" s="48" t="n"/>
    </row>
    <row r="33" ht="16.5" customFormat="1" customHeight="1" s="48">
      <c r="A33" s="55" t="inlineStr">
        <is>
          <t xml:space="preserve">    3) 카드수납 - 학원 안내접수처에서 접수 및 결제 or 카드번호 결제(키인결제)</t>
        </is>
      </c>
      <c r="B33" s="66" t="n"/>
      <c r="C33" s="66" t="n"/>
      <c r="D33" s="61" t="n"/>
      <c r="E33" s="61" t="n"/>
      <c r="F33" s="61" t="n"/>
      <c r="G33" s="62" t="n"/>
      <c r="I33" s="48" t="n"/>
      <c r="J33" s="48" t="n"/>
      <c r="K33" s="48" t="n"/>
      <c r="L33" s="48" t="n"/>
    </row>
    <row r="34" ht="16.5" customFormat="1" customHeight="1" s="48">
      <c r="A34" s="55" t="inlineStr">
        <is>
          <t xml:space="preserve">                     - 학원 홈페이지(모바일, PC) 결제 &gt; 담당멘토 문의</t>
        </is>
      </c>
      <c r="B34" s="66" t="n"/>
      <c r="C34" s="66" t="n"/>
      <c r="D34" s="61" t="n"/>
      <c r="E34" s="61" t="n"/>
      <c r="F34" s="61" t="n"/>
      <c r="G34" s="62" t="n"/>
      <c r="I34" s="48" t="n"/>
      <c r="J34" s="48" t="n"/>
      <c r="K34" s="48" t="n"/>
      <c r="L34" s="48" t="n"/>
    </row>
    <row r="35" customFormat="1" s="48">
      <c r="A35" s="55" t="inlineStr">
        <is>
          <t xml:space="preserve">      * 카드사별 무이자 할부 혜택 상이함</t>
        </is>
      </c>
      <c r="B35" s="67" t="n"/>
      <c r="C35" s="67" t="n"/>
      <c r="D35" s="61" t="n"/>
      <c r="E35" s="61" t="n"/>
      <c r="F35" s="61" t="n"/>
      <c r="G35" s="62" t="n"/>
      <c r="I35" s="48" t="n"/>
      <c r="J35" s="48" t="n"/>
      <c r="K35" s="48" t="n"/>
      <c r="L35" s="48" t="n"/>
    </row>
  </sheetData>
  <mergeCells count="34">
    <mergeCell ref="F4:G4"/>
    <mergeCell ref="D18:G18"/>
    <mergeCell ref="F11:G11"/>
    <mergeCell ref="E13:G13"/>
    <mergeCell ref="B7:C7"/>
    <mergeCell ref="F10:G10"/>
    <mergeCell ref="A22:G22"/>
    <mergeCell ref="A18:C18"/>
    <mergeCell ref="A21:C21"/>
    <mergeCell ref="A12:C12"/>
    <mergeCell ref="E15:G15"/>
    <mergeCell ref="F7:G7"/>
    <mergeCell ref="A13:A15"/>
    <mergeCell ref="D20:G20"/>
    <mergeCell ref="A17:C17"/>
    <mergeCell ref="B14:C14"/>
    <mergeCell ref="B23:F23"/>
    <mergeCell ref="D19:G19"/>
    <mergeCell ref="B8:C8"/>
    <mergeCell ref="A20:C20"/>
    <mergeCell ref="F8:G8"/>
    <mergeCell ref="B13:C13"/>
    <mergeCell ref="A1:G3"/>
    <mergeCell ref="A8:A9"/>
    <mergeCell ref="A19:C19"/>
    <mergeCell ref="D21:G21"/>
    <mergeCell ref="E12:G12"/>
    <mergeCell ref="B9:C9"/>
    <mergeCell ref="F9:G9"/>
    <mergeCell ref="D17:G17"/>
    <mergeCell ref="B15:C15"/>
    <mergeCell ref="E14:G14"/>
    <mergeCell ref="D16:G16"/>
    <mergeCell ref="A16:C16"/>
  </mergeCells>
  <pageMargins left="0.7" right="0.7" top="0.75" bottom="0.75" header="0.3" footer="0.3"/>
  <pageSetup orientation="portrait" paperSize="9" scale="8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L44"/>
  <sheetViews>
    <sheetView view="pageBreakPreview" zoomScaleNormal="100" zoomScaleSheetLayoutView="100" workbookViewId="0">
      <selection activeCell="B8" sqref="B8:C8"/>
    </sheetView>
  </sheetViews>
  <sheetFormatPr baseColWidth="8" defaultColWidth="8.88671875" defaultRowHeight="13.5"/>
  <cols>
    <col width="8.88671875" customWidth="1" style="48" min="1" max="1"/>
    <col width="29.21875" customWidth="1" style="48" min="2" max="2"/>
    <col width="14.5546875" customWidth="1" style="48" min="3" max="3"/>
    <col width="11.6640625" bestFit="1" customWidth="1" style="48" min="4" max="4"/>
    <col width="10.77734375" customWidth="1" style="48" min="5" max="5"/>
    <col width="8.109375" customWidth="1" style="48" min="6" max="6"/>
    <col width="10.5546875" customWidth="1" style="48" min="7" max="7"/>
    <col width="5.6640625" customWidth="1" style="48" min="8" max="8"/>
    <col width="21.6640625" bestFit="1" customWidth="1" style="48" min="9" max="9"/>
    <col width="19.44140625" bestFit="1" customWidth="1" style="48" min="10" max="10"/>
    <col width="20" bestFit="1" customWidth="1" style="48" min="11" max="11"/>
    <col width="19.44140625" bestFit="1" customWidth="1" style="48" min="12" max="12"/>
    <col width="8.88671875" customWidth="1" style="48" min="13" max="16384"/>
  </cols>
  <sheetData>
    <row r="1" ht="13.5" customHeight="1" s="155">
      <c r="A1" s="156" t="inlineStr">
        <is>
          <t>코리아 IT아카데미 교육과정 수강료 안내</t>
        </is>
      </c>
      <c r="B1" s="157" t="n"/>
      <c r="C1" s="157" t="n"/>
      <c r="D1" s="157" t="n"/>
      <c r="E1" s="157" t="n"/>
      <c r="F1" s="157" t="n"/>
      <c r="G1" s="158" t="n"/>
    </row>
    <row r="2" ht="13.5" customHeight="1" s="155">
      <c r="A2" s="159" t="n"/>
      <c r="G2" s="160" t="n"/>
    </row>
    <row r="3" ht="13.5" customHeight="1" s="155">
      <c r="A3" s="159" t="n"/>
      <c r="G3" s="160" t="n"/>
    </row>
    <row r="4" ht="27" customHeight="1" s="155">
      <c r="A4" s="79" t="n"/>
      <c r="B4" s="80" t="n"/>
      <c r="C4" s="76" t="n"/>
      <c r="D4" s="72" t="n"/>
      <c r="E4" s="73" t="n"/>
      <c r="F4" s="104" t="n"/>
      <c r="G4" s="160" t="n"/>
    </row>
    <row r="5" ht="27" customHeight="1" s="155">
      <c r="A5" s="79" t="n"/>
      <c r="B5" s="80" t="n"/>
      <c r="C5" s="82" t="inlineStr">
        <is>
          <t xml:space="preserve">상 담 일 자 : </t>
        </is>
      </c>
      <c r="D5" s="83">
        <f>TODAY()</f>
        <v/>
      </c>
      <c r="E5" s="84" t="inlineStr">
        <is>
          <t xml:space="preserve">상 담 자 : </t>
        </is>
      </c>
      <c r="F5" s="75" t="inlineStr">
        <is>
          <t>이소연 교육멘토</t>
        </is>
      </c>
      <c r="G5" s="78" t="n"/>
    </row>
    <row r="6" ht="19.5" customHeight="1" s="155">
      <c r="A6" s="74" t="inlineStr">
        <is>
          <t xml:space="preserve">■  과정 및 수강료                              </t>
        </is>
      </c>
      <c r="B6" s="75" t="n"/>
      <c r="C6" s="76" t="n"/>
      <c r="D6" s="77" t="n"/>
      <c r="E6" s="82" t="inlineStr">
        <is>
          <t xml:space="preserve">연 락 처 : </t>
        </is>
      </c>
      <c r="F6" s="75" t="inlineStr">
        <is>
          <t>042-369-5817</t>
        </is>
      </c>
      <c r="G6" s="81" t="n"/>
    </row>
    <row r="7" ht="19.5" customHeight="1" s="155">
      <c r="A7" s="50" t="inlineStr">
        <is>
          <t>과 정</t>
        </is>
      </c>
      <c r="B7" s="47" t="inlineStr">
        <is>
          <t>과목명</t>
        </is>
      </c>
      <c r="C7" s="161" t="n"/>
      <c r="D7" s="47" t="inlineStr">
        <is>
          <t>COURSE</t>
        </is>
      </c>
      <c r="E7" s="47" t="inlineStr">
        <is>
          <t>TIME</t>
        </is>
      </c>
      <c r="F7" s="162" t="inlineStr">
        <is>
          <t>수강료</t>
        </is>
      </c>
      <c r="G7" s="163" t="n"/>
      <c r="I7" s="164" t="n"/>
      <c r="J7" s="165" t="n"/>
      <c r="K7" s="51" t="n"/>
      <c r="L7" s="51" t="n"/>
    </row>
    <row r="8" ht="19.5" customHeight="1" s="155">
      <c r="A8" s="120" t="inlineStr">
        <is>
          <t>방학특강</t>
        </is>
      </c>
      <c r="B8" s="166" t="inlineStr">
        <is>
          <t>파이썬 1 (기초)</t>
        </is>
      </c>
      <c r="C8" s="161" t="n"/>
      <c r="D8" s="167" t="inlineStr">
        <is>
          <t>1 과목</t>
        </is>
      </c>
      <c r="E8" s="71" t="inlineStr">
        <is>
          <t>방학특강</t>
        </is>
      </c>
      <c r="F8" s="168" t="n">
        <v>400000</v>
      </c>
      <c r="G8" s="163" t="n"/>
      <c r="I8" s="164" t="n"/>
      <c r="J8" s="165" t="n"/>
      <c r="K8" s="51" t="n"/>
      <c r="L8" s="51" t="n"/>
    </row>
    <row r="9" ht="19.5" customHeight="1" s="155">
      <c r="A9" s="169" t="n"/>
      <c r="B9" s="166" t="inlineStr">
        <is>
          <t>파이썬 2 (중급)</t>
        </is>
      </c>
      <c r="C9" s="161" t="n"/>
      <c r="D9" s="167" t="inlineStr">
        <is>
          <t>1 과목</t>
        </is>
      </c>
      <c r="E9" s="71" t="inlineStr">
        <is>
          <t>방학특강</t>
        </is>
      </c>
      <c r="F9" s="168" t="n">
        <v>400000</v>
      </c>
      <c r="G9" s="163" t="n"/>
      <c r="I9" s="164" t="n"/>
      <c r="J9" s="165" t="n"/>
      <c r="K9" s="51" t="n"/>
      <c r="L9" s="51" t="n"/>
    </row>
    <row r="10" ht="19.5" customHeight="1" s="155">
      <c r="A10" s="169" t="n"/>
      <c r="B10" s="166" t="inlineStr">
        <is>
          <t>C언어 1 (기초)</t>
        </is>
      </c>
      <c r="C10" s="161" t="n"/>
      <c r="D10" s="167" t="inlineStr">
        <is>
          <t>1 과목</t>
        </is>
      </c>
      <c r="E10" s="71" t="inlineStr">
        <is>
          <t>방학특강</t>
        </is>
      </c>
      <c r="F10" s="168" t="n">
        <v>400000</v>
      </c>
      <c r="G10" s="163" t="n"/>
      <c r="I10" s="164" t="n"/>
      <c r="J10" s="165" t="n"/>
      <c r="K10" s="51" t="n"/>
      <c r="L10" s="51" t="n"/>
    </row>
    <row r="11" ht="19.5" customHeight="1" s="155">
      <c r="A11" s="169" t="n"/>
      <c r="B11" s="166" t="inlineStr">
        <is>
          <t>C언어 2 (중급)</t>
        </is>
      </c>
      <c r="C11" s="161" t="n"/>
      <c r="D11" s="167" t="inlineStr">
        <is>
          <t>1 과목</t>
        </is>
      </c>
      <c r="E11" s="71" t="inlineStr">
        <is>
          <t>방학특강</t>
        </is>
      </c>
      <c r="F11" s="168" t="n">
        <v>400000</v>
      </c>
      <c r="G11" s="163" t="n"/>
      <c r="I11" s="164" t="n"/>
      <c r="J11" s="165" t="n"/>
      <c r="K11" s="51" t="n"/>
      <c r="L11" s="51" t="n"/>
    </row>
    <row r="12" ht="19.5" customHeight="1" s="155">
      <c r="A12" s="169" t="n"/>
      <c r="B12" s="166" t="inlineStr">
        <is>
          <t>자바 1 (기초)</t>
        </is>
      </c>
      <c r="C12" s="161" t="n"/>
      <c r="D12" s="167" t="inlineStr">
        <is>
          <t>1 과목</t>
        </is>
      </c>
      <c r="E12" s="71" t="inlineStr">
        <is>
          <t>방학특강</t>
        </is>
      </c>
      <c r="F12" s="168" t="n">
        <v>400000</v>
      </c>
      <c r="G12" s="163" t="n"/>
      <c r="I12" s="164" t="n"/>
      <c r="J12" s="165" t="n"/>
      <c r="K12" s="51" t="n"/>
      <c r="L12" s="51" t="n"/>
    </row>
    <row r="13" ht="19.5" customHeight="1" s="155">
      <c r="A13" s="169" t="n"/>
      <c r="B13" s="166" t="inlineStr">
        <is>
          <t>자바 2 (중급)</t>
        </is>
      </c>
      <c r="C13" s="161" t="n"/>
      <c r="D13" s="167" t="inlineStr">
        <is>
          <t>1 과목</t>
        </is>
      </c>
      <c r="E13" s="71" t="inlineStr">
        <is>
          <t>방학특강</t>
        </is>
      </c>
      <c r="F13" s="168" t="n">
        <v>400000</v>
      </c>
      <c r="G13" s="163" t="n"/>
      <c r="I13" s="164" t="n"/>
      <c r="J13" s="165" t="n"/>
      <c r="K13" s="51" t="n"/>
      <c r="L13" s="51" t="n"/>
    </row>
    <row r="14" ht="19.5" customHeight="1" s="155">
      <c r="A14" s="169" t="n"/>
      <c r="B14" s="166" t="inlineStr">
        <is>
          <t>웹기초 1 (기초)</t>
        </is>
      </c>
      <c r="C14" s="161" t="n"/>
      <c r="D14" s="167" t="inlineStr">
        <is>
          <t>1 과목</t>
        </is>
      </c>
      <c r="E14" s="71" t="inlineStr">
        <is>
          <t>방학특강</t>
        </is>
      </c>
      <c r="F14" s="168" t="n">
        <v>400000</v>
      </c>
      <c r="G14" s="163" t="n"/>
      <c r="I14" s="164" t="n"/>
      <c r="J14" s="165" t="n"/>
      <c r="K14" s="51" t="n"/>
      <c r="L14" s="51" t="n"/>
    </row>
    <row r="15" ht="19.5" customHeight="1" s="155">
      <c r="A15" s="169" t="n"/>
      <c r="B15" s="166" t="inlineStr">
        <is>
          <t>웹기초 2 (중급)</t>
        </is>
      </c>
      <c r="C15" s="161" t="n"/>
      <c r="D15" s="167" t="inlineStr">
        <is>
          <t>1 과목</t>
        </is>
      </c>
      <c r="E15" s="71" t="inlineStr">
        <is>
          <t>방학특강</t>
        </is>
      </c>
      <c r="F15" s="168" t="n">
        <v>400000</v>
      </c>
      <c r="G15" s="163" t="n"/>
      <c r="I15" s="164" t="n"/>
      <c r="J15" s="165" t="n"/>
      <c r="K15" s="51" t="n"/>
      <c r="L15" s="51" t="n"/>
    </row>
    <row r="16" ht="19.5" customHeight="1" s="155">
      <c r="A16" s="169" t="n"/>
      <c r="B16" s="166" t="inlineStr">
        <is>
          <t>DBMS (SQL)</t>
        </is>
      </c>
      <c r="C16" s="161" t="n"/>
      <c r="D16" s="167" t="inlineStr">
        <is>
          <t>1 과목</t>
        </is>
      </c>
      <c r="E16" s="71" t="inlineStr">
        <is>
          <t>방학특강</t>
        </is>
      </c>
      <c r="F16" s="168" t="n">
        <v>400000</v>
      </c>
      <c r="G16" s="163" t="n"/>
      <c r="I16" s="164" t="n"/>
      <c r="J16" s="165" t="n"/>
      <c r="K16" s="51" t="n"/>
      <c r="L16" s="51" t="n"/>
    </row>
    <row r="17" ht="19.5" customHeight="1" s="155">
      <c r="A17" s="169" t="n"/>
      <c r="B17" s="166" t="inlineStr">
        <is>
          <t>C++</t>
        </is>
      </c>
      <c r="C17" s="161" t="n"/>
      <c r="D17" s="167" t="inlineStr">
        <is>
          <t>1 과목</t>
        </is>
      </c>
      <c r="E17" s="71" t="inlineStr">
        <is>
          <t>방학특강</t>
        </is>
      </c>
      <c r="F17" s="168" t="n">
        <v>400000</v>
      </c>
      <c r="G17" s="163" t="n"/>
      <c r="I17" s="164" t="n"/>
      <c r="J17" s="165" t="n"/>
      <c r="K17" s="51" t="n"/>
      <c r="L17" s="51" t="n"/>
    </row>
    <row r="18" ht="19.5" customHeight="1" s="155">
      <c r="A18" s="169" t="n"/>
      <c r="B18" s="166" t="inlineStr">
        <is>
          <t>PCCE (자격증)</t>
        </is>
      </c>
      <c r="C18" s="161" t="n"/>
      <c r="D18" s="167" t="inlineStr">
        <is>
          <t>1 과목</t>
        </is>
      </c>
      <c r="E18" s="71" t="inlineStr">
        <is>
          <t>방학특강</t>
        </is>
      </c>
      <c r="F18" s="168" t="n">
        <v>400000</v>
      </c>
      <c r="G18" s="163" t="n"/>
      <c r="I18" s="164" t="n"/>
      <c r="J18" s="165" t="n"/>
      <c r="K18" s="51" t="n"/>
      <c r="L18" s="51" t="n"/>
    </row>
    <row r="19" ht="33.6" customHeight="1" s="155">
      <c r="A19" s="93" t="inlineStr">
        <is>
          <t>따즈아</t>
        </is>
      </c>
      <c r="B19" s="94" t="inlineStr">
        <is>
          <t>온라인강의</t>
        </is>
      </c>
      <c r="C19" s="95" t="n">
        <v>500000</v>
      </c>
      <c r="D19" s="170">
        <f>SUM(D8:D18)</f>
        <v/>
      </c>
      <c r="E19" s="88" t="inlineStr">
        <is>
          <t>원수강료</t>
        </is>
      </c>
      <c r="F19" s="188">
        <f>SUM(F8:G18)</f>
        <v/>
      </c>
      <c r="G19" s="172" t="n"/>
      <c r="I19" s="48" t="n"/>
      <c r="J19" s="48" t="n"/>
      <c r="K19" s="48" t="n"/>
      <c r="L19" s="48" t="n"/>
    </row>
    <row r="20" ht="19.5" customHeight="1" s="155">
      <c r="A20" s="49" t="inlineStr">
        <is>
          <t>■ 교육과정 할인내역</t>
        </is>
      </c>
      <c r="B20" s="90" t="n"/>
      <c r="C20" s="91" t="n"/>
      <c r="D20" s="56" t="n"/>
      <c r="E20" s="56" t="n"/>
      <c r="F20" s="173" t="n"/>
      <c r="G20" s="160" t="n"/>
      <c r="I20" s="48" t="n"/>
      <c r="J20" s="48" t="n"/>
      <c r="K20" s="48" t="n"/>
      <c r="L20" s="48" t="n"/>
    </row>
    <row r="21" ht="19.5" customHeight="1" s="155">
      <c r="A21" s="50" t="inlineStr">
        <is>
          <t>세부할인 내역</t>
        </is>
      </c>
      <c r="B21" s="174" t="n"/>
      <c r="C21" s="161" t="n"/>
      <c r="D21" s="47" t="inlineStr">
        <is>
          <t>할인율(%)</t>
        </is>
      </c>
      <c r="E21" s="175" t="inlineStr">
        <is>
          <t>할인금액</t>
        </is>
      </c>
      <c r="F21" s="174" t="n"/>
      <c r="G21" s="163" t="n"/>
    </row>
    <row r="22" ht="19.5" customHeight="1" s="155">
      <c r="A22" s="176" t="inlineStr">
        <is>
          <t>할인
내역</t>
        </is>
      </c>
      <c r="B22" s="189" t="inlineStr">
        <is>
          <t>기초프로그래밍 패키지 할인</t>
        </is>
      </c>
      <c r="C22" s="161" t="n"/>
      <c r="D22" s="85" t="n">
        <v>0.15</v>
      </c>
      <c r="E22" s="177">
        <f>F19*D22</f>
        <v/>
      </c>
      <c r="F22" s="174" t="n"/>
      <c r="G22" s="163" t="n"/>
    </row>
    <row r="23" ht="19.5" customHeight="1" s="155">
      <c r="A23" s="169" t="n"/>
      <c r="B23" s="138" t="inlineStr">
        <is>
          <t>O월 이벤트할인 / 사전등록 추가할인 등</t>
        </is>
      </c>
      <c r="C23" s="174" t="n"/>
      <c r="D23" s="53" t="n">
        <v>0.1</v>
      </c>
      <c r="E23" s="178">
        <f>(F19*(1-D22)*D23)</f>
        <v/>
      </c>
      <c r="F23" s="174" t="n"/>
      <c r="G23" s="163" t="n"/>
      <c r="H23" s="48" t="n"/>
      <c r="I23" s="164" t="n"/>
      <c r="J23" s="165" t="n"/>
      <c r="K23" s="51" t="n"/>
      <c r="L23" s="51" t="n"/>
    </row>
    <row r="24" ht="19.5" customHeight="1" s="155">
      <c r="A24" s="179" t="n"/>
      <c r="B24" s="138" t="inlineStr">
        <is>
          <t>친구추천 할인 / 비전공자 할인 등</t>
        </is>
      </c>
      <c r="C24" s="174" t="n"/>
      <c r="D24" s="45" t="n">
        <v>0.05</v>
      </c>
      <c r="E24" s="177">
        <f>(F19*(1-D22)*(1-D23)*D24)</f>
        <v/>
      </c>
      <c r="F24" s="174" t="n"/>
      <c r="G24" s="163" t="n"/>
      <c r="H24" s="48" t="n"/>
      <c r="I24" s="164" t="n"/>
      <c r="J24" s="165" t="n"/>
      <c r="K24" s="51" t="n"/>
      <c r="L24" s="51" t="n"/>
    </row>
    <row r="25" ht="23.25" customHeight="1" s="155">
      <c r="A25" s="180" t="inlineStr">
        <is>
          <t xml:space="preserve">총 할인금액 (수강지원)  </t>
        </is>
      </c>
      <c r="B25" s="174" t="n"/>
      <c r="C25" s="161" t="n"/>
      <c r="D25" s="181">
        <f>ROUNDUP(SUM(E22:G24),-3)</f>
        <v/>
      </c>
      <c r="E25" s="174" t="n"/>
      <c r="F25" s="174" t="n"/>
      <c r="G25" s="163" t="n"/>
      <c r="H25" s="48" t="n"/>
      <c r="I25" s="48" t="n"/>
      <c r="J25" s="48" t="n"/>
      <c r="K25" s="48" t="n"/>
      <c r="L25" s="48" t="n"/>
    </row>
    <row r="26" ht="23.25" customHeight="1" s="155">
      <c r="A26" s="182" t="inlineStr">
        <is>
          <t xml:space="preserve">납부 해야할 수강료 (할인적용)  </t>
        </is>
      </c>
      <c r="B26" s="174" t="n"/>
      <c r="C26" s="161" t="n"/>
      <c r="D26" s="183">
        <f>F19-D25</f>
        <v/>
      </c>
      <c r="E26" s="174" t="n"/>
      <c r="F26" s="174" t="n"/>
      <c r="G26" s="163" t="n"/>
      <c r="H26" s="48" t="n"/>
      <c r="I26" s="48" t="n"/>
      <c r="J26" s="48" t="n"/>
      <c r="K26" s="48" t="n"/>
      <c r="L26" s="48" t="n"/>
    </row>
    <row r="27" ht="23.25" customHeight="1" s="155">
      <c r="A27" s="182" t="inlineStr">
        <is>
          <t>총 등록금액</t>
        </is>
      </c>
      <c r="B27" s="174" t="n"/>
      <c r="C27" s="161" t="n"/>
      <c r="D27" s="183">
        <f>SUM(D26+C19)</f>
        <v/>
      </c>
      <c r="E27" s="174" t="n"/>
      <c r="F27" s="174" t="n"/>
      <c r="G27" s="163" t="n"/>
      <c r="H27" s="48" t="n"/>
      <c r="I27" s="48" t="n"/>
      <c r="J27" s="48" t="n"/>
      <c r="K27" s="48" t="n"/>
      <c r="L27" s="48" t="n"/>
    </row>
    <row r="28" ht="23.25" customHeight="1" s="155">
      <c r="A28" s="182" t="inlineStr">
        <is>
          <t>3개월 할부 진행시</t>
        </is>
      </c>
      <c r="B28" s="174" t="n"/>
      <c r="C28" s="161" t="n"/>
      <c r="D28" s="184">
        <f>SUM(D27/3)</f>
        <v/>
      </c>
      <c r="E28" s="174" t="n"/>
      <c r="F28" s="174" t="n"/>
      <c r="G28" s="163" t="n"/>
      <c r="H28" s="48" t="n"/>
      <c r="I28" s="48" t="n"/>
      <c r="J28" s="48" t="n"/>
      <c r="K28" s="48" t="n"/>
      <c r="L28" s="48" t="n"/>
    </row>
    <row r="29" ht="23.25" customHeight="1" s="155">
      <c r="A29" s="182" t="inlineStr">
        <is>
          <t>6개월 할부 진행시</t>
        </is>
      </c>
      <c r="B29" s="174" t="n"/>
      <c r="C29" s="161" t="n"/>
      <c r="D29" s="184">
        <f>SUM(D27/6)</f>
        <v/>
      </c>
      <c r="E29" s="174" t="n"/>
      <c r="F29" s="174" t="n"/>
      <c r="G29" s="163" t="n"/>
      <c r="H29" s="48" t="n"/>
      <c r="I29" s="48" t="n"/>
      <c r="J29" s="48" t="n"/>
      <c r="K29" s="48" t="n"/>
      <c r="L29" s="48" t="n"/>
    </row>
    <row r="30" ht="23.25" customHeight="1" s="155">
      <c r="A30" s="182" t="inlineStr">
        <is>
          <t>1과목당 수강료</t>
        </is>
      </c>
      <c r="B30" s="174" t="n"/>
      <c r="C30" s="161" t="n"/>
      <c r="D30" s="184">
        <f>SUM(D26/D19)</f>
        <v/>
      </c>
      <c r="E30" s="174" t="n"/>
      <c r="F30" s="174" t="n"/>
      <c r="G30" s="163" t="n"/>
      <c r="H30" s="48" t="n"/>
      <c r="I30" s="48" t="n"/>
      <c r="J30" s="48" t="n"/>
      <c r="K30" s="48" t="n"/>
      <c r="L30" s="48" t="n"/>
    </row>
    <row r="31" ht="23.25" customHeight="1" s="155">
      <c r="A31" s="190" t="inlineStr">
        <is>
          <t>★ 당일등록시 혜택 : 000 지원 ★</t>
        </is>
      </c>
      <c r="B31" s="174" t="n"/>
      <c r="C31" s="174" t="n"/>
      <c r="D31" s="174" t="n"/>
      <c r="E31" s="174" t="n"/>
      <c r="F31" s="174" t="n"/>
      <c r="G31" s="163" t="n"/>
      <c r="H31" s="48" t="n"/>
      <c r="I31" s="48" t="n"/>
      <c r="J31" s="48" t="n"/>
      <c r="K31" s="48" t="n"/>
      <c r="L31" s="48" t="n"/>
    </row>
    <row r="32" ht="16.5" customHeight="1" s="155">
      <c r="A32" s="55" t="n"/>
      <c r="B32" s="119" t="n"/>
      <c r="G32" s="54" t="n"/>
      <c r="I32" s="52" t="n"/>
      <c r="J32" s="48" t="n"/>
      <c r="K32" s="48" t="n"/>
      <c r="L32" s="48" t="n"/>
    </row>
    <row r="33" ht="16.5" customHeight="1" s="155">
      <c r="A33" s="64" t="inlineStr">
        <is>
          <t>■ 안내사항</t>
        </is>
      </c>
      <c r="B33" s="119" t="n"/>
      <c r="C33" s="119" t="n"/>
      <c r="D33" s="119" t="n"/>
      <c r="E33" s="119" t="n"/>
      <c r="F33" s="119" t="n"/>
      <c r="G33" s="54" t="n"/>
      <c r="I33" s="52" t="n"/>
      <c r="J33" s="48" t="n"/>
      <c r="K33" s="48" t="n"/>
      <c r="L33" s="48" t="n"/>
    </row>
    <row r="34" ht="16.5" customHeight="1" s="155">
      <c r="A34" s="55" t="inlineStr">
        <is>
          <t xml:space="preserve">   1) 위 수강료는 학원내 게시되어 있는 수강료 기준이며, 교육청에 신고된 금액입니다.</t>
        </is>
      </c>
      <c r="B34" s="119" t="n"/>
      <c r="C34" s="119" t="n"/>
      <c r="D34" s="119" t="n"/>
      <c r="E34" s="119" t="n"/>
      <c r="F34" s="119" t="n"/>
      <c r="G34" s="54" t="n"/>
      <c r="I34" s="48" t="n"/>
      <c r="J34" s="48" t="n"/>
      <c r="K34" s="48" t="n"/>
      <c r="L34" s="48" t="n"/>
    </row>
    <row r="35" ht="16.5" customHeight="1" s="155">
      <c r="A35" s="55" t="inlineStr">
        <is>
          <t xml:space="preserve">   2) 위 할인내역은 해당사항에 한해 적용되며, 할인내용에 해당될 시 증명서류를 증빙해야 할인 받을 수 있습니다.</t>
        </is>
      </c>
      <c r="B35" s="119" t="n"/>
      <c r="C35" s="119" t="n"/>
      <c r="D35" s="119" t="n"/>
      <c r="E35" s="119" t="n"/>
      <c r="F35" s="119" t="n"/>
      <c r="G35" s="54" t="n"/>
      <c r="I35" s="48" t="n"/>
      <c r="J35" s="48" t="n"/>
      <c r="K35" s="48" t="n"/>
      <c r="L35" s="48" t="n"/>
    </row>
    <row r="36" ht="16.5" customHeight="1" s="155">
      <c r="A36" s="55" t="inlineStr">
        <is>
          <t xml:space="preserve">   3) 할인금액은 수강과목지원(무료)으로 진행됩니다.</t>
        </is>
      </c>
      <c r="B36" s="56" t="n"/>
      <c r="C36" s="56" t="n"/>
      <c r="D36" s="57" t="n"/>
      <c r="E36" s="57" t="n"/>
      <c r="F36" s="58" t="n"/>
      <c r="G36" s="59" t="n"/>
    </row>
    <row r="37" ht="16.5" customHeight="1" s="155">
      <c r="A37" s="55" t="n"/>
      <c r="B37" s="56" t="n"/>
      <c r="C37" s="56" t="n"/>
      <c r="D37" s="57" t="n"/>
      <c r="E37" s="57" t="n"/>
      <c r="F37" s="58" t="n"/>
      <c r="G37" s="59" t="n"/>
    </row>
    <row r="38" ht="16.5" customHeight="1" s="155">
      <c r="A38" s="64" t="inlineStr">
        <is>
          <t>■ 수강료 납부 안내</t>
        </is>
      </c>
      <c r="B38" s="60" t="n"/>
      <c r="C38" s="60" t="n"/>
      <c r="D38" s="61" t="n"/>
      <c r="E38" s="61" t="n"/>
      <c r="F38" s="61" t="n"/>
      <c r="G38" s="62" t="n"/>
    </row>
    <row r="39" ht="16.5" customHeight="1" s="155">
      <c r="A39" s="55" t="inlineStr">
        <is>
          <t xml:space="preserve">    1) 현금수납 - 학원 안내접수처에서 접수 및 결제(현금영수증 발행)</t>
        </is>
      </c>
      <c r="B39" s="63" t="n"/>
      <c r="C39" s="63" t="n"/>
      <c r="D39" s="61" t="n"/>
      <c r="E39" s="61" t="n"/>
      <c r="F39" s="61" t="n"/>
      <c r="G39" s="62" t="n"/>
    </row>
    <row r="40" ht="16.5" customHeight="1" s="155">
      <c r="A40" s="55" t="inlineStr">
        <is>
          <t xml:space="preserve">    2) 온라인입금(계좌이체) 결제(현금영수증 발행)</t>
        </is>
      </c>
      <c r="B40" s="63" t="n"/>
      <c r="C40" s="63" t="n"/>
      <c r="D40" s="61" t="n"/>
      <c r="E40" s="61" t="n"/>
      <c r="F40" s="61" t="n"/>
      <c r="G40" s="62" t="n"/>
    </row>
    <row r="41" ht="16.5" customHeight="1" s="155">
      <c r="A41" s="64" t="inlineStr">
        <is>
          <t xml:space="preserve">           기업은행 064-166274-04-024 (주)코리아아이티아카데미대전 </t>
        </is>
      </c>
      <c r="B41" s="65" t="n"/>
      <c r="C41" s="65" t="n"/>
      <c r="D41" s="61" t="n"/>
      <c r="E41" s="61" t="n"/>
      <c r="F41" s="61" t="n"/>
      <c r="G41" s="62" t="n"/>
    </row>
    <row r="42" ht="16.5" customHeight="1" s="155">
      <c r="A42" s="55" t="inlineStr">
        <is>
          <t xml:space="preserve">    3) 카드수납 - 학원 안내접수처에서 접수 및 결제 or 카드번호 결제(키인결제)</t>
        </is>
      </c>
      <c r="B42" s="66" t="n"/>
      <c r="C42" s="66" t="n"/>
      <c r="D42" s="61" t="n"/>
      <c r="E42" s="61" t="n"/>
      <c r="F42" s="61" t="n"/>
      <c r="G42" s="62" t="n"/>
    </row>
    <row r="43" ht="16.5" customHeight="1" s="155">
      <c r="A43" s="55" t="inlineStr">
        <is>
          <t xml:space="preserve">                     - 학원 홈페이지(모바일, PC) 결제 &gt; 담당멘토 문의</t>
        </is>
      </c>
      <c r="B43" s="66" t="n"/>
      <c r="C43" s="66" t="n"/>
      <c r="D43" s="61" t="n"/>
      <c r="E43" s="61" t="n"/>
      <c r="F43" s="61" t="n"/>
      <c r="G43" s="62" t="n"/>
    </row>
    <row r="44">
      <c r="A44" s="55" t="inlineStr">
        <is>
          <t xml:space="preserve">      * 카드사별 무이자 할부 혜택 상이함</t>
        </is>
      </c>
      <c r="B44" s="67" t="n"/>
      <c r="C44" s="67" t="n"/>
      <c r="D44" s="61" t="n"/>
      <c r="E44" s="61" t="n"/>
      <c r="F44" s="61" t="n"/>
      <c r="G44" s="62" t="n"/>
    </row>
  </sheetData>
  <mergeCells count="52">
    <mergeCell ref="F4:G4"/>
    <mergeCell ref="A25:C25"/>
    <mergeCell ref="F11:G11"/>
    <mergeCell ref="B16:C16"/>
    <mergeCell ref="B7:C7"/>
    <mergeCell ref="F10:G10"/>
    <mergeCell ref="F16:G16"/>
    <mergeCell ref="D25:G25"/>
    <mergeCell ref="F19:G19"/>
    <mergeCell ref="D30:G30"/>
    <mergeCell ref="B22:C22"/>
    <mergeCell ref="A27:C27"/>
    <mergeCell ref="A21:C21"/>
    <mergeCell ref="D29:G29"/>
    <mergeCell ref="B18:C18"/>
    <mergeCell ref="A22:A24"/>
    <mergeCell ref="A26:C26"/>
    <mergeCell ref="F7:G7"/>
    <mergeCell ref="B12:C12"/>
    <mergeCell ref="F12:G12"/>
    <mergeCell ref="D26:G26"/>
    <mergeCell ref="B11:C11"/>
    <mergeCell ref="F15:G15"/>
    <mergeCell ref="A31:G31"/>
    <mergeCell ref="A8:A18"/>
    <mergeCell ref="F20:G20"/>
    <mergeCell ref="F18:G18"/>
    <mergeCell ref="B23:C23"/>
    <mergeCell ref="B14:C14"/>
    <mergeCell ref="B17:C17"/>
    <mergeCell ref="A29:C29"/>
    <mergeCell ref="B8:C8"/>
    <mergeCell ref="F17:G17"/>
    <mergeCell ref="F8:G8"/>
    <mergeCell ref="B13:C13"/>
    <mergeCell ref="A28:C28"/>
    <mergeCell ref="A1:G3"/>
    <mergeCell ref="E22:G22"/>
    <mergeCell ref="B10:C10"/>
    <mergeCell ref="A30:C30"/>
    <mergeCell ref="F13:G13"/>
    <mergeCell ref="B9:C9"/>
    <mergeCell ref="E21:G21"/>
    <mergeCell ref="D27:G27"/>
    <mergeCell ref="F9:G9"/>
    <mergeCell ref="E24:G24"/>
    <mergeCell ref="B24:C24"/>
    <mergeCell ref="B15:C15"/>
    <mergeCell ref="E23:G23"/>
    <mergeCell ref="F14:G14"/>
    <mergeCell ref="B32:F32"/>
    <mergeCell ref="D28:G28"/>
  </mergeCells>
  <pageMargins left="0.7" right="0.7" top="0.75" bottom="0.75" header="0.3" footer="0.3"/>
  <pageSetup orientation="portrait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</dc:creator>
  <dcterms:created xmlns:dcterms="http://purl.org/dc/terms/" xmlns:xsi="http://www.w3.org/2001/XMLSchema-instance" xsi:type="dcterms:W3CDTF">2009-05-15T06:34:19Z</dcterms:created>
  <dcterms:modified xmlns:dcterms="http://purl.org/dc/terms/" xmlns:xsi="http://www.w3.org/2001/XMLSchema-instance" xsi:type="dcterms:W3CDTF">2026-05-13T08:58:04Z</dcterms:modified>
  <cp:lastModifiedBy>admin</cp:lastModifiedBy>
  <cp:lastPrinted>2025-02-22T03:05:16Z</cp:lastPrinted>
</cp:coreProperties>
</file>