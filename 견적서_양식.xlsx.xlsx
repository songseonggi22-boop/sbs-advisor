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bookViews>
    <workbookView minimized="1" xWindow="0" yWindow="0" windowWidth="28800" windowHeight="12285" tabRatio="862"/>
  </bookViews>
  <sheets>
    <sheet name="단과과정" sheetId="42" r:id="rId1"/>
    <sheet name="JS풀스택" sheetId="32" r:id="rId2"/>
    <sheet name="스프링풀스택" sheetId="30" r:id="rId3"/>
    <sheet name="AI인공지능빅데이터" sheetId="40" r:id="rId4"/>
    <sheet name="정보보안" sheetId="34" r:id="rId5"/>
    <sheet name="빅데이터 자격증" sheetId="44" r:id="rId6"/>
    <sheet name="정처기" sheetId="35" r:id="rId7"/>
    <sheet name="CCNA" sheetId="37" r:id="rId8"/>
    <sheet name="방특 전과목" sheetId="55" r:id="rId9"/>
  </sheets>
  <definedNames>
    <definedName name="_xlnm.Print_Area" localSheetId="3">AI인공지능빅데이터!$A$1:$G$44</definedName>
    <definedName name="_xlnm.Print_Area" localSheetId="7">CCNA!$A$1:$G$35</definedName>
    <definedName name="_xlnm.Print_Area" localSheetId="1">JS풀스택!$A$1:$G$44</definedName>
    <definedName name="_xlnm.Print_Area" localSheetId="0">단과과정!$A$1:$G$35</definedName>
    <definedName name="_xlnm.Print_Area" localSheetId="8">'방특 전과목'!$A$1:$G$44</definedName>
    <definedName name="_xlnm.Print_Area" localSheetId="5">'빅데이터 자격증'!$A$1:$G$42</definedName>
    <definedName name="_xlnm.Print_Area" localSheetId="2">스프링풀스택!$A$1:$G$44</definedName>
    <definedName name="_xlnm.Print_Area" localSheetId="4">정보보안!$A$1:$G$53</definedName>
    <definedName name="_xlnm.Print_Area" localSheetId="6">정처기!$A$1:$G$43</definedName>
  </definedNames>
  <calcPr calcId="162913"/>
</workbook>
</file>

<file path=xl/calcChain.xml><?xml version="1.0" encoding="utf-8"?>
<calcChain xmlns="http://schemas.openxmlformats.org/spreadsheetml/2006/main">
  <c r="E31" i="34" l="1"/>
  <c r="F10" i="42"/>
  <c r="D19" i="55" l="1"/>
  <c r="F19" i="55"/>
  <c r="E22" i="55" s="1"/>
  <c r="D5" i="55"/>
  <c r="E23" i="55" l="1"/>
  <c r="E24" i="55"/>
  <c r="D25" i="55" s="1"/>
  <c r="D26" i="55" s="1"/>
  <c r="D30" i="55" l="1"/>
  <c r="D27" i="55"/>
  <c r="D29" i="55" l="1"/>
  <c r="D28" i="55"/>
  <c r="D21" i="37" l="1"/>
  <c r="D29" i="35"/>
  <c r="D18" i="37" l="1"/>
  <c r="D26" i="35"/>
  <c r="D19" i="37" l="1"/>
  <c r="D20" i="37"/>
  <c r="D27" i="35"/>
  <c r="D28" i="35"/>
  <c r="E15" i="37"/>
  <c r="E14" i="37"/>
  <c r="E13" i="37"/>
  <c r="D16" i="37" s="1"/>
  <c r="D17" i="37" s="1"/>
  <c r="E23" i="35"/>
  <c r="E22" i="35"/>
  <c r="E21" i="35"/>
  <c r="D24" i="35" s="1"/>
  <c r="D25" i="35" s="1"/>
  <c r="F17" i="44" l="1"/>
  <c r="D17" i="44"/>
  <c r="D5" i="44"/>
  <c r="E21" i="44" l="1"/>
  <c r="E22" i="44"/>
  <c r="E20" i="44"/>
  <c r="D10" i="37"/>
  <c r="D18" i="35"/>
  <c r="D19" i="40"/>
  <c r="E15" i="42"/>
  <c r="D10" i="42"/>
  <c r="D5" i="42"/>
  <c r="D28" i="34"/>
  <c r="D19" i="32"/>
  <c r="D19" i="30"/>
  <c r="F19" i="30"/>
  <c r="D23" i="44" l="1"/>
  <c r="D24" i="44" s="1"/>
  <c r="E22" i="30"/>
  <c r="E24" i="30"/>
  <c r="E23" i="30"/>
  <c r="E14" i="42"/>
  <c r="E13" i="42"/>
  <c r="F19" i="40"/>
  <c r="D5" i="40"/>
  <c r="D28" i="44" l="1"/>
  <c r="D25" i="44"/>
  <c r="E24" i="40"/>
  <c r="E23" i="40"/>
  <c r="E22" i="40"/>
  <c r="D25" i="30"/>
  <c r="D26" i="30" s="1"/>
  <c r="D16" i="42"/>
  <c r="D27" i="44" l="1"/>
  <c r="D26" i="44"/>
  <c r="D25" i="40"/>
  <c r="D26" i="40" s="1"/>
  <c r="D30" i="40" s="1"/>
  <c r="D27" i="30"/>
  <c r="D30" i="30"/>
  <c r="F10" i="37"/>
  <c r="D5" i="37"/>
  <c r="D27" i="40" l="1"/>
  <c r="D28" i="40" s="1"/>
  <c r="D28" i="30"/>
  <c r="D29" i="30"/>
  <c r="D17" i="42"/>
  <c r="D18" i="42" s="1"/>
  <c r="D19" i="42" l="1"/>
  <c r="D21" i="42"/>
  <c r="D29" i="40"/>
  <c r="F18" i="35"/>
  <c r="D5" i="35"/>
  <c r="F28" i="34"/>
  <c r="E33" i="34" s="1"/>
  <c r="D5" i="34"/>
  <c r="F19" i="32"/>
  <c r="D5" i="32"/>
  <c r="D5" i="30"/>
  <c r="D20" i="42" l="1"/>
  <c r="E22" i="32"/>
  <c r="E23" i="32"/>
  <c r="E24" i="32"/>
  <c r="E32" i="34"/>
  <c r="D25" i="32" l="1"/>
  <c r="D26" i="32" s="1"/>
  <c r="D34" i="34"/>
  <c r="D35" i="34" s="1"/>
  <c r="D36" i="34" l="1"/>
  <c r="D38" i="34" s="1"/>
  <c r="D39" i="34"/>
  <c r="D30" i="32"/>
  <c r="D27" i="32"/>
  <c r="D37" i="34" l="1"/>
  <c r="D29" i="32"/>
  <c r="D28" i="32"/>
</calcChain>
</file>

<file path=xl/sharedStrings.xml><?xml version="1.0" encoding="utf-8"?>
<sst xmlns="http://schemas.openxmlformats.org/spreadsheetml/2006/main" count="561" uniqueCount="139">
  <si>
    <t xml:space="preserve">   1) 위 수강료는 학원내 게시되어 있는 수강료 기준이며, 교육청에 신고된 금액입니다.</t>
    <phoneticPr fontId="2" type="noConversion"/>
  </si>
  <si>
    <t>과목명</t>
    <phoneticPr fontId="2" type="noConversion"/>
  </si>
  <si>
    <t>COURSE</t>
    <phoneticPr fontId="2" type="noConversion"/>
  </si>
  <si>
    <t>세부할인 내역</t>
    <phoneticPr fontId="2" type="noConversion"/>
  </si>
  <si>
    <t>할인율(%)</t>
    <phoneticPr fontId="2" type="noConversion"/>
  </si>
  <si>
    <t>할인금액</t>
    <phoneticPr fontId="2" type="noConversion"/>
  </si>
  <si>
    <t>■ 안내사항</t>
    <phoneticPr fontId="2" type="noConversion"/>
  </si>
  <si>
    <t>수강료</t>
    <phoneticPr fontId="2" type="noConversion"/>
  </si>
  <si>
    <t>과 정</t>
    <phoneticPr fontId="2" type="noConversion"/>
  </si>
  <si>
    <t>원수강료</t>
    <phoneticPr fontId="2" type="noConversion"/>
  </si>
  <si>
    <t xml:space="preserve">    1) 현금수납 - 학원 안내접수처에서 접수 및 결제(현금영수증 발행)</t>
    <phoneticPr fontId="2" type="noConversion"/>
  </si>
  <si>
    <t xml:space="preserve">    2) 온라인입금(계좌이체) 결제(현금영수증 발행)</t>
    <phoneticPr fontId="2" type="noConversion"/>
  </si>
  <si>
    <t xml:space="preserve">    3) 카드수납 - 학원 안내접수처에서 접수 및 결제 or 카드번호 결제(키인결제)</t>
    <phoneticPr fontId="2" type="noConversion"/>
  </si>
  <si>
    <t xml:space="preserve">      * 카드사별 무이자 할부 혜택 상이함</t>
    <phoneticPr fontId="2" type="noConversion"/>
  </si>
  <si>
    <t>리눅스 1</t>
    <phoneticPr fontId="2" type="noConversion"/>
  </si>
  <si>
    <t>리눅스 2</t>
    <phoneticPr fontId="2" type="noConversion"/>
  </si>
  <si>
    <t xml:space="preserve">상 담 일 자 : </t>
    <phoneticPr fontId="2" type="noConversion"/>
  </si>
  <si>
    <t xml:space="preserve">연 락 처 : </t>
    <phoneticPr fontId="2" type="noConversion"/>
  </si>
  <si>
    <t xml:space="preserve">상 담 자 : </t>
    <phoneticPr fontId="2" type="noConversion"/>
  </si>
  <si>
    <t>TIME</t>
    <phoneticPr fontId="2" type="noConversion"/>
  </si>
  <si>
    <t>할인
내역</t>
    <phoneticPr fontId="2" type="noConversion"/>
  </si>
  <si>
    <t>평일 / 주말</t>
    <phoneticPr fontId="2" type="noConversion"/>
  </si>
  <si>
    <t>주말</t>
    <phoneticPr fontId="2" type="noConversion"/>
  </si>
  <si>
    <t>주말</t>
    <phoneticPr fontId="2" type="noConversion"/>
  </si>
  <si>
    <t>평일</t>
    <phoneticPr fontId="2" type="noConversion"/>
  </si>
  <si>
    <t>DAY</t>
    <phoneticPr fontId="2" type="noConversion"/>
  </si>
  <si>
    <t>평일</t>
    <phoneticPr fontId="2" type="noConversion"/>
  </si>
  <si>
    <t>주말</t>
    <phoneticPr fontId="2" type="noConversion"/>
  </si>
  <si>
    <t>자격증
과정</t>
    <phoneticPr fontId="2" type="noConversion"/>
  </si>
  <si>
    <t>CCNA 1 (자격증)</t>
    <phoneticPr fontId="2" type="noConversion"/>
  </si>
  <si>
    <t>CCNA 2 (자격증)</t>
    <phoneticPr fontId="2" type="noConversion"/>
  </si>
  <si>
    <t>주말</t>
    <phoneticPr fontId="2" type="noConversion"/>
  </si>
  <si>
    <t>평일</t>
    <phoneticPr fontId="2" type="noConversion"/>
  </si>
  <si>
    <t xml:space="preserve">           기업은행 064-166274-04-024 (주)코리아아이티아카데미대전 </t>
    <phoneticPr fontId="2" type="noConversion"/>
  </si>
  <si>
    <t>친구추천 할인 / 비전공자 할인 등</t>
    <phoneticPr fontId="2" type="noConversion"/>
  </si>
  <si>
    <t>O월 이벤트할인 / 사전등록 추가할인 등</t>
    <phoneticPr fontId="2" type="noConversion"/>
  </si>
  <si>
    <t>코리아 IT아카데미 교육과정 수강료 안내</t>
    <phoneticPr fontId="2" type="noConversion"/>
  </si>
  <si>
    <t>파이썬 1 (기초)</t>
    <phoneticPr fontId="2" type="noConversion"/>
  </si>
  <si>
    <t>파이썬 2 (중급)</t>
    <phoneticPr fontId="2" type="noConversion"/>
  </si>
  <si>
    <t>C언어 1 (기초)</t>
    <phoneticPr fontId="2" type="noConversion"/>
  </si>
  <si>
    <t>C언어 2 (중급)</t>
    <phoneticPr fontId="2" type="noConversion"/>
  </si>
  <si>
    <t>자바 1 (기초)</t>
    <phoneticPr fontId="2" type="noConversion"/>
  </si>
  <si>
    <t>자바 2 (중급)</t>
    <phoneticPr fontId="2" type="noConversion"/>
  </si>
  <si>
    <t>정보처리기사 필기 (자격증 대비)</t>
    <phoneticPr fontId="2" type="noConversion"/>
  </si>
  <si>
    <t>정보처리기사 실기 1 (자격증 대비)</t>
    <phoneticPr fontId="2" type="noConversion"/>
  </si>
  <si>
    <t>정보처리기사 실기 2 (자격증 대비)</t>
    <phoneticPr fontId="2" type="noConversion"/>
  </si>
  <si>
    <t xml:space="preserve">총 할인금액 (수강지원)  </t>
    <phoneticPr fontId="2" type="noConversion"/>
  </si>
  <si>
    <t xml:space="preserve">■  과정 및 수강료                              </t>
    <phoneticPr fontId="2" type="noConversion"/>
  </si>
  <si>
    <t>정보보안
전문가
정규과정</t>
    <phoneticPr fontId="2" type="noConversion"/>
  </si>
  <si>
    <t>AI인공지능
빅데이터
전문가
정규과정</t>
    <phoneticPr fontId="2" type="noConversion"/>
  </si>
  <si>
    <t>정보처리
자격증
취득과정</t>
    <phoneticPr fontId="2" type="noConversion"/>
  </si>
  <si>
    <t xml:space="preserve">납부 해야할 수강료 (할인적용)  </t>
    <phoneticPr fontId="2" type="noConversion"/>
  </si>
  <si>
    <t>■ 교육과정 할인내역</t>
    <phoneticPr fontId="2" type="noConversion"/>
  </si>
  <si>
    <t xml:space="preserve">    3) 카드수납 - 학원 안내접수처에서 접수 및 결제 or 카드번호 결제(키인결제)</t>
    <phoneticPr fontId="2" type="noConversion"/>
  </si>
  <si>
    <t xml:space="preserve">   2) 위 할인내역은 해당사항에 한해 적용되며, 할인내용에 해당될 시 증명서류를 증빙해야 할인 받을 수 있습니다.</t>
    <phoneticPr fontId="2" type="noConversion"/>
  </si>
  <si>
    <t xml:space="preserve">                     - 학원 홈페이지(모바일, PC) 결제 &gt; 담당멘토 문의</t>
    <phoneticPr fontId="2" type="noConversion"/>
  </si>
  <si>
    <t xml:space="preserve">   3) 할인금액은 수강과목지원(무료)으로 진행됩니다.</t>
    <phoneticPr fontId="2" type="noConversion"/>
  </si>
  <si>
    <t>■ 수강료 납부 안내</t>
    <phoneticPr fontId="2" type="noConversion"/>
  </si>
  <si>
    <t>정보보안 1 (네트워크보안 1)</t>
    <phoneticPr fontId="2" type="noConversion"/>
  </si>
  <si>
    <t>정보보안 2 (네트워크보안 2)</t>
    <phoneticPr fontId="2" type="noConversion"/>
  </si>
  <si>
    <t>정보보안 3 (네트워크보안 3)</t>
    <phoneticPr fontId="2" type="noConversion"/>
  </si>
  <si>
    <t>정보보안 4 (시스템보안 1)</t>
    <phoneticPr fontId="2" type="noConversion"/>
  </si>
  <si>
    <t>정보보안 5 (시스템보안 2)</t>
    <phoneticPr fontId="2" type="noConversion"/>
  </si>
  <si>
    <t>정보보안 6 (시스템보안 3)</t>
    <phoneticPr fontId="2" type="noConversion"/>
  </si>
  <si>
    <t>정보보안 7 (웹보안 1)</t>
    <phoneticPr fontId="2" type="noConversion"/>
  </si>
  <si>
    <t>정보보안 8 (웹보안 2)</t>
    <phoneticPr fontId="2" type="noConversion"/>
  </si>
  <si>
    <t>정보보안 9 (웹보안 3)</t>
    <phoneticPr fontId="2" type="noConversion"/>
  </si>
  <si>
    <t>Spring 풀스택 개발 2</t>
    <phoneticPr fontId="2" type="noConversion"/>
  </si>
  <si>
    <t>Spring 풀스택 개발 3</t>
    <phoneticPr fontId="2" type="noConversion"/>
  </si>
  <si>
    <t>Spring 풀스택 개발 4</t>
    <phoneticPr fontId="2" type="noConversion"/>
  </si>
  <si>
    <t>Spring 풀스택 개발 1</t>
    <phoneticPr fontId="2" type="noConversion"/>
  </si>
  <si>
    <t>Spring
풀스택
개발자
정규과정</t>
    <phoneticPr fontId="2" type="noConversion"/>
  </si>
  <si>
    <t>기초프로그래밍 패키지 할인</t>
    <phoneticPr fontId="2" type="noConversion"/>
  </si>
  <si>
    <t>Javascript
풀스택
개발자
정규과정</t>
    <phoneticPr fontId="2" type="noConversion"/>
  </si>
  <si>
    <t>Javascript 풀스택 개발 1</t>
    <phoneticPr fontId="2" type="noConversion"/>
  </si>
  <si>
    <t>Javascript 풀스택 개발 2</t>
    <phoneticPr fontId="2" type="noConversion"/>
  </si>
  <si>
    <t xml:space="preserve">Javascript 풀스택 개발 3 </t>
    <phoneticPr fontId="2" type="noConversion"/>
  </si>
  <si>
    <t>Javascript 풀스택 개발 4</t>
    <phoneticPr fontId="2" type="noConversion"/>
  </si>
  <si>
    <t>평일</t>
    <phoneticPr fontId="2" type="noConversion"/>
  </si>
  <si>
    <t>DBMS (SQL)</t>
    <phoneticPr fontId="2" type="noConversion"/>
  </si>
  <si>
    <t>평일(격일)</t>
    <phoneticPr fontId="2" type="noConversion"/>
  </si>
  <si>
    <t>CCNA 1 (자격증)</t>
    <phoneticPr fontId="2" type="noConversion"/>
  </si>
  <si>
    <t>CCNA 2 (자격증)</t>
    <phoneticPr fontId="2" type="noConversion"/>
  </si>
  <si>
    <t>총 등록금액</t>
    <phoneticPr fontId="2" type="noConversion"/>
  </si>
  <si>
    <t>온라인강의</t>
    <phoneticPr fontId="2" type="noConversion"/>
  </si>
  <si>
    <t>따즈아</t>
    <phoneticPr fontId="2" type="noConversion"/>
  </si>
  <si>
    <t>김동우 교육멘토</t>
    <phoneticPr fontId="2" type="noConversion"/>
  </si>
  <si>
    <t>042-369-5815</t>
    <phoneticPr fontId="2" type="noConversion"/>
  </si>
  <si>
    <t>3개월 할부 진행시</t>
    <phoneticPr fontId="2" type="noConversion"/>
  </si>
  <si>
    <t>6개월 할부 진행시</t>
    <phoneticPr fontId="2" type="noConversion"/>
  </si>
  <si>
    <t>1과목당 수강료</t>
    <phoneticPr fontId="2" type="noConversion"/>
  </si>
  <si>
    <t>★ 당일등록시 혜택 : 000 지원 ★</t>
    <phoneticPr fontId="2" type="noConversion"/>
  </si>
  <si>
    <t>SQL-D (자격증)</t>
    <phoneticPr fontId="2" type="noConversion"/>
  </si>
  <si>
    <t>리눅스마스터 2급 (자격증)</t>
    <phoneticPr fontId="2" type="noConversion"/>
  </si>
  <si>
    <t>주말</t>
    <phoneticPr fontId="2" type="noConversion"/>
  </si>
  <si>
    <t>주말</t>
    <phoneticPr fontId="2" type="noConversion"/>
  </si>
  <si>
    <t>평일</t>
    <phoneticPr fontId="2" type="noConversion"/>
  </si>
  <si>
    <t>Javascript 풀스택 개발 5</t>
    <phoneticPr fontId="2" type="noConversion"/>
  </si>
  <si>
    <t xml:space="preserve">Spring 풀스택 개발 5 </t>
    <phoneticPr fontId="2" type="noConversion"/>
  </si>
  <si>
    <t>평일(월~목)</t>
    <phoneticPr fontId="2" type="noConversion"/>
  </si>
  <si>
    <t>패키지 금액</t>
    <phoneticPr fontId="2" type="noConversion"/>
  </si>
  <si>
    <t>데이터 분석 1 (기초)</t>
    <phoneticPr fontId="2" type="noConversion"/>
  </si>
  <si>
    <t>데이터 분석 2 (심화)</t>
    <phoneticPr fontId="2" type="noConversion"/>
  </si>
  <si>
    <t>DBMS (SQL)</t>
    <phoneticPr fontId="2" type="noConversion"/>
  </si>
  <si>
    <t>SQL-D (자격증)</t>
    <phoneticPr fontId="2" type="noConversion"/>
  </si>
  <si>
    <t>ADsP (자격증</t>
    <phoneticPr fontId="2" type="noConversion"/>
  </si>
  <si>
    <t>Javascript 풀스택 개발 6 (Project)</t>
    <phoneticPr fontId="2" type="noConversion"/>
  </si>
  <si>
    <t>Spring 풀스택 개발 6 (Project)</t>
    <phoneticPr fontId="2" type="noConversion"/>
  </si>
  <si>
    <t>AI 인공지능 빅데이터 4 (Project)</t>
    <phoneticPr fontId="2" type="noConversion"/>
  </si>
  <si>
    <t>AI 인공지능 빅데이터 1 (데이터 분석)</t>
    <phoneticPr fontId="2" type="noConversion"/>
  </si>
  <si>
    <t>AI 인공지능 빅데이터 3 (딥 러닝)</t>
    <phoneticPr fontId="2" type="noConversion"/>
  </si>
  <si>
    <t>AI 인공지능 빅데이터 2 (머신 러닝)</t>
    <phoneticPr fontId="2" type="noConversion"/>
  </si>
  <si>
    <t>주말</t>
    <phoneticPr fontId="2" type="noConversion"/>
  </si>
  <si>
    <t>주말</t>
    <phoneticPr fontId="2" type="noConversion"/>
  </si>
  <si>
    <t>주말</t>
    <phoneticPr fontId="2" type="noConversion"/>
  </si>
  <si>
    <t>주말</t>
    <phoneticPr fontId="2" type="noConversion"/>
  </si>
  <si>
    <t>패키지 진행시</t>
    <phoneticPr fontId="2" type="noConversion"/>
  </si>
  <si>
    <t>빅데이터 분석기사 실기 (강남 비대면)</t>
    <phoneticPr fontId="2" type="noConversion"/>
  </si>
  <si>
    <t>빅데이터 분석기사 필기 (강남 비대면)</t>
    <phoneticPr fontId="2" type="noConversion"/>
  </si>
  <si>
    <t>방학특강</t>
    <phoneticPr fontId="2" type="noConversion"/>
  </si>
  <si>
    <t>데이터 자격증 패키지</t>
    <phoneticPr fontId="2" type="noConversion"/>
  </si>
  <si>
    <t>웹기초 1 (기초)</t>
    <phoneticPr fontId="2" type="noConversion"/>
  </si>
  <si>
    <t>웹기초 2 (중급)</t>
    <phoneticPr fontId="2" type="noConversion"/>
  </si>
  <si>
    <t>1 과목</t>
    <phoneticPr fontId="2" type="noConversion"/>
  </si>
  <si>
    <t>1 과목</t>
    <phoneticPr fontId="2" type="noConversion"/>
  </si>
  <si>
    <t>1 과목</t>
    <phoneticPr fontId="2" type="noConversion"/>
  </si>
  <si>
    <t>C++</t>
    <phoneticPr fontId="2" type="noConversion"/>
  </si>
  <si>
    <t>PCCE (자격증)</t>
    <phoneticPr fontId="2" type="noConversion"/>
  </si>
  <si>
    <t>방학특강</t>
    <phoneticPr fontId="2" type="noConversion"/>
  </si>
  <si>
    <t>이소연 교육멘토</t>
    <phoneticPr fontId="2" type="noConversion"/>
  </si>
  <si>
    <t>042-369-5817</t>
    <phoneticPr fontId="2" type="noConversion"/>
  </si>
  <si>
    <t>겨울방학 할인</t>
    <phoneticPr fontId="2" type="noConversion"/>
  </si>
  <si>
    <t>042-369-5817</t>
    <phoneticPr fontId="2" type="noConversion"/>
  </si>
  <si>
    <t>송성기 교육멘토</t>
    <phoneticPr fontId="2" type="noConversion"/>
  </si>
  <si>
    <t>042-369-5804</t>
    <phoneticPr fontId="2" type="noConversion"/>
  </si>
  <si>
    <t>정보처리실기1/주말</t>
    <phoneticPr fontId="2" type="noConversion"/>
  </si>
  <si>
    <t>정보처리실기2/주말</t>
    <phoneticPr fontId="2" type="noConversion"/>
  </si>
  <si>
    <t>잔여석 지원 할인</t>
    <phoneticPr fontId="2" type="noConversion"/>
  </si>
  <si>
    <t>멘토직권 할인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</si>
</sst>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0&quot;개월&quot;"/>
    <numFmt numFmtId="177" formatCode="&quot;총&quot;\ 0\ &quot;개월&quot;"/>
    <numFmt numFmtId="178" formatCode="_-* #,##0_-;\-* #,##0_-;_-* &quot;-&quot;??_-;_-@_-"/>
  </numFmts>
  <fonts count="22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b/>
      <sz val="11"/>
      <name val="굴림"/>
      <family val="3"/>
      <charset val="129"/>
    </font>
    <font>
      <sz val="10"/>
      <name val="굴림"/>
      <family val="3"/>
      <charset val="129"/>
    </font>
    <font>
      <b/>
      <sz val="18"/>
      <name val="굴림"/>
      <family val="3"/>
      <charset val="129"/>
    </font>
    <font>
      <sz val="8"/>
      <name val="굴림"/>
      <family val="3"/>
      <charset val="129"/>
    </font>
    <font>
      <b/>
      <sz val="9"/>
      <name val="굴림"/>
      <family val="3"/>
      <charset val="129"/>
    </font>
    <font>
      <sz val="9"/>
      <name val="굴림"/>
      <family val="3"/>
      <charset val="129"/>
    </font>
    <font>
      <sz val="8"/>
      <name val="휴먼모음T"/>
      <family val="1"/>
      <charset val="129"/>
    </font>
    <font>
      <b/>
      <u/>
      <sz val="10"/>
      <name val="함초롬돋움 확장"/>
      <family val="1"/>
      <charset val="129"/>
    </font>
    <font>
      <b/>
      <sz val="10"/>
      <name val="함초롬돋움 확장"/>
      <family val="1"/>
      <charset val="129"/>
    </font>
    <font>
      <sz val="8"/>
      <name val="HyhwpEQ"/>
      <family val="1"/>
      <charset val="129"/>
    </font>
    <font>
      <sz val="8"/>
      <color indexed="8"/>
      <name val="HyhwpEQ"/>
      <family val="1"/>
      <charset val="129"/>
    </font>
    <font>
      <sz val="9"/>
      <name val="HyhwpEQ"/>
      <family val="1"/>
      <charset val="129"/>
    </font>
    <font>
      <sz val="10"/>
      <name val="휴먼모음T"/>
      <family val="1"/>
      <charset val="129"/>
    </font>
    <font>
      <sz val="11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굴림"/>
      <family val="3"/>
      <charset val="129"/>
    </font>
    <font>
      <b/>
      <sz val="9"/>
      <color rgb="FFC00000"/>
      <name val="굴림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2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8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8" fillId="0" borderId="9" xfId="0" applyFont="1" applyBorder="1" applyAlignment="1">
      <alignment horizontal="left" vertical="center"/>
    </xf>
    <xf numFmtId="0" fontId="8" fillId="2" borderId="11" xfId="0" applyFont="1" applyFill="1" applyBorder="1" applyAlignment="1">
      <alignment horizontal="center" vertical="center"/>
    </xf>
    <xf numFmtId="41" fontId="18" fillId="4" borderId="0" xfId="1" applyFont="1" applyFill="1" applyBorder="1" applyAlignment="1">
      <alignment horizontal="left" vertical="center"/>
    </xf>
    <xf numFmtId="41" fontId="19" fillId="4" borderId="0" xfId="1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9" fontId="8" fillId="0" borderId="4" xfId="5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vertical="center"/>
    </xf>
    <xf numFmtId="0" fontId="13" fillId="3" borderId="0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0" fontId="15" fillId="3" borderId="0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4" fontId="20" fillId="3" borderId="0" xfId="0" applyNumberFormat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vertical="center"/>
    </xf>
    <xf numFmtId="0" fontId="4" fillId="3" borderId="9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20" fillId="3" borderId="0" xfId="0" applyFont="1" applyFill="1" applyBorder="1" applyAlignment="1">
      <alignment horizontal="right" vertical="center"/>
    </xf>
    <xf numFmtId="0" fontId="20" fillId="3" borderId="0" xfId="0" applyFont="1" applyFill="1" applyBorder="1" applyAlignment="1">
      <alignment vertical="center"/>
    </xf>
    <xf numFmtId="0" fontId="20" fillId="3" borderId="10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14" fontId="7" fillId="3" borderId="10" xfId="0" applyNumberFormat="1" applyFont="1" applyFill="1" applyBorder="1" applyAlignment="1">
      <alignment vertical="center"/>
    </xf>
    <xf numFmtId="0" fontId="4" fillId="3" borderId="0" xfId="0" applyFont="1" applyFill="1" applyBorder="1" applyAlignment="1">
      <alignment horizontal="right" vertical="center"/>
    </xf>
    <xf numFmtId="14" fontId="4" fillId="3" borderId="0" xfId="0" applyNumberFormat="1" applyFont="1" applyFill="1" applyBorder="1" applyAlignment="1">
      <alignment horizontal="center" vertical="center"/>
    </xf>
    <xf numFmtId="14" fontId="4" fillId="3" borderId="0" xfId="0" applyNumberFormat="1" applyFont="1" applyFill="1" applyBorder="1" applyAlignment="1">
      <alignment horizontal="right" vertical="center"/>
    </xf>
    <xf numFmtId="9" fontId="8" fillId="0" borderId="1" xfId="5" applyFont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9" fontId="8" fillId="0" borderId="2" xfId="5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8" fillId="0" borderId="9" xfId="0" applyFont="1" applyBorder="1" applyAlignment="1">
      <alignment horizontal="left" vertical="center"/>
    </xf>
    <xf numFmtId="0" fontId="8" fillId="2" borderId="11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9" fontId="8" fillId="0" borderId="4" xfId="5" applyFont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vertical="center"/>
    </xf>
    <xf numFmtId="0" fontId="13" fillId="3" borderId="0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0" fontId="15" fillId="3" borderId="0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4" fontId="20" fillId="3" borderId="0" xfId="0" applyNumberFormat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vertical="center"/>
    </xf>
    <xf numFmtId="0" fontId="4" fillId="3" borderId="9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20" fillId="3" borderId="0" xfId="0" applyFont="1" applyFill="1" applyBorder="1" applyAlignment="1">
      <alignment horizontal="right" vertical="center"/>
    </xf>
    <xf numFmtId="0" fontId="20" fillId="3" borderId="0" xfId="0" applyFont="1" applyFill="1" applyBorder="1" applyAlignment="1">
      <alignment vertical="center"/>
    </xf>
    <xf numFmtId="0" fontId="20" fillId="3" borderId="10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14" fontId="7" fillId="3" borderId="10" xfId="0" applyNumberFormat="1" applyFont="1" applyFill="1" applyBorder="1" applyAlignment="1">
      <alignment vertical="center"/>
    </xf>
    <xf numFmtId="0" fontId="4" fillId="3" borderId="0" xfId="0" applyFont="1" applyFill="1" applyBorder="1" applyAlignment="1">
      <alignment horizontal="right" vertical="center"/>
    </xf>
    <xf numFmtId="14" fontId="4" fillId="3" borderId="0" xfId="0" applyNumberFormat="1" applyFont="1" applyFill="1" applyBorder="1" applyAlignment="1">
      <alignment horizontal="center" vertical="center"/>
    </xf>
    <xf numFmtId="14" fontId="4" fillId="3" borderId="0" xfId="0" applyNumberFormat="1" applyFont="1" applyFill="1" applyBorder="1" applyAlignment="1">
      <alignment horizontal="right" vertical="center"/>
    </xf>
    <xf numFmtId="9" fontId="8" fillId="0" borderId="1" xfId="5" applyFont="1" applyBorder="1" applyAlignment="1">
      <alignment horizontal="center" vertical="center"/>
    </xf>
    <xf numFmtId="177" fontId="8" fillId="6" borderId="17" xfId="0" applyNumberFormat="1" applyFont="1" applyFill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6" borderId="30" xfId="0" applyFont="1" applyFill="1" applyBorder="1" applyAlignment="1">
      <alignment horizontal="center" vertical="center" wrapText="1"/>
    </xf>
    <xf numFmtId="177" fontId="8" fillId="6" borderId="31" xfId="0" applyNumberFormat="1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left" vertical="center"/>
    </xf>
    <xf numFmtId="0" fontId="7" fillId="3" borderId="5" xfId="0" applyFont="1" applyFill="1" applyBorder="1" applyAlignment="1">
      <alignment vertical="center"/>
    </xf>
    <xf numFmtId="0" fontId="7" fillId="3" borderId="0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vertical="center" wrapText="1"/>
    </xf>
    <xf numFmtId="0" fontId="9" fillId="0" borderId="27" xfId="0" applyFont="1" applyBorder="1" applyAlignment="1">
      <alignment vertical="center"/>
    </xf>
    <xf numFmtId="3" fontId="9" fillId="0" borderId="33" xfId="0" applyNumberFormat="1" applyFont="1" applyBorder="1" applyAlignment="1">
      <alignment vertical="center"/>
    </xf>
    <xf numFmtId="0" fontId="7" fillId="3" borderId="0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1" fontId="9" fillId="0" borderId="3" xfId="1" applyFont="1" applyBorder="1" applyAlignment="1">
      <alignment horizontal="center" vertical="center"/>
    </xf>
    <xf numFmtId="41" fontId="9" fillId="0" borderId="18" xfId="1" applyFont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41" fontId="8" fillId="6" borderId="25" xfId="0" applyNumberFormat="1" applyFont="1" applyFill="1" applyBorder="1" applyAlignment="1">
      <alignment horizontal="center" vertical="center" wrapText="1"/>
    </xf>
    <xf numFmtId="41" fontId="8" fillId="6" borderId="19" xfId="0" applyNumberFormat="1" applyFont="1" applyFill="1" applyBorder="1" applyAlignment="1">
      <alignment horizontal="center" vertical="center" wrapText="1"/>
    </xf>
    <xf numFmtId="41" fontId="9" fillId="0" borderId="27" xfId="1" applyFont="1" applyBorder="1" applyAlignment="1">
      <alignment horizontal="center" vertical="center"/>
    </xf>
    <xf numFmtId="41" fontId="9" fillId="0" borderId="28" xfId="1" applyFont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/>
    </xf>
    <xf numFmtId="41" fontId="8" fillId="2" borderId="3" xfId="1" applyFont="1" applyFill="1" applyBorder="1" applyAlignment="1">
      <alignment horizontal="center" vertical="center"/>
    </xf>
    <xf numFmtId="41" fontId="8" fillId="2" borderId="20" xfId="1" applyFont="1" applyFill="1" applyBorder="1" applyAlignment="1">
      <alignment horizontal="center" vertical="center"/>
    </xf>
    <xf numFmtId="41" fontId="8" fillId="2" borderId="18" xfId="1" applyFont="1" applyFill="1" applyBorder="1" applyAlignment="1">
      <alignment horizontal="center" vertical="center"/>
    </xf>
    <xf numFmtId="41" fontId="8" fillId="3" borderId="20" xfId="1" applyFont="1" applyFill="1" applyBorder="1" applyAlignment="1">
      <alignment horizontal="center" vertical="center"/>
    </xf>
    <xf numFmtId="41" fontId="8" fillId="3" borderId="18" xfId="1" applyFont="1" applyFill="1" applyBorder="1" applyAlignment="1">
      <alignment horizontal="center" vertical="center"/>
    </xf>
    <xf numFmtId="41" fontId="8" fillId="3" borderId="3" xfId="1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41" fontId="8" fillId="6" borderId="3" xfId="0" applyNumberFormat="1" applyFont="1" applyFill="1" applyBorder="1" applyAlignment="1">
      <alignment horizontal="center" vertical="center"/>
    </xf>
    <xf numFmtId="41" fontId="8" fillId="6" borderId="20" xfId="0" applyNumberFormat="1" applyFont="1" applyFill="1" applyBorder="1" applyAlignment="1">
      <alignment horizontal="center" vertical="center"/>
    </xf>
    <xf numFmtId="41" fontId="8" fillId="6" borderId="18" xfId="0" applyNumberFormat="1" applyFont="1" applyFill="1" applyBorder="1" applyAlignment="1">
      <alignment horizontal="center" vertical="center"/>
    </xf>
    <xf numFmtId="0" fontId="8" fillId="7" borderId="12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21" fillId="6" borderId="12" xfId="0" applyFont="1" applyFill="1" applyBorder="1" applyAlignment="1">
      <alignment horizontal="center" vertical="center"/>
    </xf>
    <xf numFmtId="0" fontId="21" fillId="6" borderId="20" xfId="0" applyFont="1" applyFill="1" applyBorder="1" applyAlignment="1">
      <alignment horizontal="center" vertical="center"/>
    </xf>
    <xf numFmtId="0" fontId="21" fillId="6" borderId="2" xfId="0" applyFont="1" applyFill="1" applyBorder="1" applyAlignment="1">
      <alignment horizontal="center" vertical="center"/>
    </xf>
    <xf numFmtId="41" fontId="21" fillId="6" borderId="3" xfId="0" applyNumberFormat="1" applyFont="1" applyFill="1" applyBorder="1" applyAlignment="1">
      <alignment horizontal="center" vertical="center"/>
    </xf>
    <xf numFmtId="41" fontId="21" fillId="6" borderId="20" xfId="0" applyNumberFormat="1" applyFont="1" applyFill="1" applyBorder="1" applyAlignment="1">
      <alignment horizontal="center" vertical="center"/>
    </xf>
    <xf numFmtId="41" fontId="21" fillId="6" borderId="18" xfId="0" applyNumberFormat="1" applyFont="1" applyFill="1" applyBorder="1" applyAlignment="1">
      <alignment horizontal="center" vertical="center"/>
    </xf>
    <xf numFmtId="178" fontId="8" fillId="6" borderId="3" xfId="0" applyNumberFormat="1" applyFont="1" applyFill="1" applyBorder="1" applyAlignment="1">
      <alignment horizontal="center" vertical="center"/>
    </xf>
    <xf numFmtId="178" fontId="8" fillId="6" borderId="20" xfId="0" applyNumberFormat="1" applyFont="1" applyFill="1" applyBorder="1" applyAlignment="1">
      <alignment horizontal="center" vertical="center"/>
    </xf>
    <xf numFmtId="178" fontId="8" fillId="6" borderId="18" xfId="0" applyNumberFormat="1" applyFont="1" applyFill="1" applyBorder="1" applyAlignment="1">
      <alignment horizontal="center" vertical="center"/>
    </xf>
    <xf numFmtId="41" fontId="8" fillId="6" borderId="30" xfId="0" applyNumberFormat="1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6" xfId="0" applyFont="1" applyBorder="1" applyAlignment="1">
      <alignment vertical="center"/>
    </xf>
    <xf numFmtId="0" fontId="9" fillId="0" borderId="23" xfId="0" applyFont="1" applyBorder="1" applyAlignment="1">
      <alignment vertical="center"/>
    </xf>
  </cellXfs>
  <cellStyles count="8">
    <cellStyle name="백분율" xfId="5" builtinId="5"/>
    <cellStyle name="쉼표 [0]" xfId="1" builtinId="6"/>
    <cellStyle name="쉼표 [0] 2" xfId="6"/>
    <cellStyle name="쉼표 [0] 4 3 3 4" xfId="4"/>
    <cellStyle name="쉼표 [0] 4 3 3 4 2" xfId="7"/>
    <cellStyle name="표준" xfId="0" builtinId="0"/>
    <cellStyle name="표준 80" xfId="3"/>
    <cellStyle name="표준 81" xfId="2"/>
  </cellStyles>
  <dxfs count="0"/>
  <tableStyles count="0" defaultTableStyle="TableStyleMedium9" defaultPivotStyle="PivotStyleLight16"/>
  <colors>
    <mruColors>
      <color rgb="FFFFE5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866775</xdr:colOff>
      <xdr:row>26</xdr:row>
      <xdr:rowOff>57150</xdr:rowOff>
    </xdr:from>
    <xdr:to>
      <xdr:col>6</xdr:col>
      <xdr:colOff>676275</xdr:colOff>
      <xdr:row>33</xdr:row>
      <xdr:rowOff>57150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81625" y="9201150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895350</xdr:colOff>
      <xdr:row>36</xdr:row>
      <xdr:rowOff>47625</xdr:rowOff>
    </xdr:from>
    <xdr:to>
      <xdr:col>6</xdr:col>
      <xdr:colOff>704850</xdr:colOff>
      <xdr:row>43</xdr:row>
      <xdr:rowOff>47625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0200" y="8001000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838200</xdr:colOff>
      <xdr:row>35</xdr:row>
      <xdr:rowOff>142875</xdr:rowOff>
    </xdr:from>
    <xdr:to>
      <xdr:col>6</xdr:col>
      <xdr:colOff>647700</xdr:colOff>
      <xdr:row>42</xdr:row>
      <xdr:rowOff>142875</xdr:rowOff>
    </xdr:to>
    <xdr:pic>
      <xdr:nvPicPr>
        <xdr:cNvPr id="4" name="그림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53050" y="9324975"/>
          <a:ext cx="2428875" cy="1466850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36</xdr:row>
      <xdr:rowOff>57150</xdr:rowOff>
    </xdr:from>
    <xdr:to>
      <xdr:col>6</xdr:col>
      <xdr:colOff>685800</xdr:colOff>
      <xdr:row>43</xdr:row>
      <xdr:rowOff>57150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8505825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866775</xdr:colOff>
      <xdr:row>45</xdr:row>
      <xdr:rowOff>76200</xdr:rowOff>
    </xdr:from>
    <xdr:to>
      <xdr:col>6</xdr:col>
      <xdr:colOff>676275</xdr:colOff>
      <xdr:row>52</xdr:row>
      <xdr:rowOff>76200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81625" y="10620375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34</xdr:row>
      <xdr:rowOff>85725</xdr:rowOff>
    </xdr:from>
    <xdr:to>
      <xdr:col>6</xdr:col>
      <xdr:colOff>685800</xdr:colOff>
      <xdr:row>41</xdr:row>
      <xdr:rowOff>85725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7048500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895350</xdr:colOff>
      <xdr:row>35</xdr:row>
      <xdr:rowOff>28575</xdr:rowOff>
    </xdr:from>
    <xdr:to>
      <xdr:col>6</xdr:col>
      <xdr:colOff>704850</xdr:colOff>
      <xdr:row>42</xdr:row>
      <xdr:rowOff>28575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0200" y="8972550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904875</xdr:colOff>
      <xdr:row>27</xdr:row>
      <xdr:rowOff>9525</xdr:rowOff>
    </xdr:from>
    <xdr:to>
      <xdr:col>6</xdr:col>
      <xdr:colOff>714375</xdr:colOff>
      <xdr:row>34</xdr:row>
      <xdr:rowOff>9525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9725" y="6972300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36</xdr:row>
      <xdr:rowOff>85725</xdr:rowOff>
    </xdr:from>
    <xdr:to>
      <xdr:col>6</xdr:col>
      <xdr:colOff>685800</xdr:colOff>
      <xdr:row>43</xdr:row>
      <xdr:rowOff>85725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9277350"/>
          <a:ext cx="2428875" cy="14668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114301</xdr:colOff>
      <xdr:row>3</xdr:row>
      <xdr:rowOff>66675</xdr:rowOff>
    </xdr:from>
    <xdr:to>
      <xdr:col>1</xdr:col>
      <xdr:colOff>657225</xdr:colOff>
      <xdr:row>4</xdr:row>
      <xdr:rowOff>285751</xdr:rowOff>
    </xdr:to>
    <xdr:pic>
      <xdr:nvPicPr>
        <xdr:cNvPr id="3" name="그림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581025"/>
          <a:ext cx="1304924" cy="5619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E593"/>
  </sheetPr>
  <dimension ref="A1:L35"/>
  <sheetViews>
    <sheetView tabSelected="1" view="pageBreakPreview" zoomScaleNormal="100" zoomScaleSheetLayoutView="100" workbookViewId="0">
      <selection activeCell="I22" sqref="I22"/>
    </sheetView>
  </sheetViews>
  <sheetFormatPr defaultColWidth="8.88671875" defaultRowHeight="13.5"/>
  <cols>
    <col min="1" max="1" width="8.88671875" style="1"/>
    <col min="2" max="2" width="29.21875" style="1" customWidth="1"/>
    <col min="3" max="3" width="14.5546875" style="1" customWidth="1"/>
    <col min="4" max="4" width="11.6640625" style="1" customWidth="1"/>
    <col min="5" max="5" width="10.77734375" style="1" customWidth="1"/>
    <col min="6" max="6" width="8.109375" style="1" customWidth="1"/>
    <col min="7" max="7" width="10.5546875" style="1" customWidth="1"/>
    <col min="8" max="8" width="5.6640625" style="1" customWidth="1"/>
    <col min="9" max="9" width="21.6640625" style="3" bestFit="1" customWidth="1"/>
    <col min="10" max="10" width="19.44140625" style="3" bestFit="1" customWidth="1"/>
    <col min="11" max="11" width="20" style="3" bestFit="1" customWidth="1"/>
    <col min="12" max="12" width="19.44140625" style="3" bestFit="1" customWidth="1"/>
    <col min="13" max="16384" width="8.88671875" style="1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36"/>
      <c r="B4" s="37"/>
      <c r="C4" s="33"/>
      <c r="D4" s="29"/>
      <c r="E4" s="30"/>
      <c r="F4" s="103"/>
      <c r="G4" s="104"/>
    </row>
    <row r="5" spans="1:12" ht="27" customHeight="1">
      <c r="A5" s="36"/>
      <c r="B5" s="37"/>
      <c r="C5" s="39" t="s">
        <v>16</v>
      </c>
      <c r="D5" s="40">
        <f ca="1">TODAY()</f>
        <v>46031</v>
      </c>
      <c r="E5" s="41" t="s">
        <v>18</v>
      </c>
      <c r="F5" s="32" t="s">
        <v>133</v>
      </c>
      <c r="G5" s="35"/>
    </row>
    <row r="6" spans="1:12" ht="19.5" customHeight="1">
      <c r="A6" s="31" t="s">
        <v>47</v>
      </c>
      <c r="B6" s="32"/>
      <c r="C6" s="33"/>
      <c r="D6" s="34"/>
      <c r="E6" s="39" t="s">
        <v>17</v>
      </c>
      <c r="F6" s="32" t="s">
        <v>134</v>
      </c>
      <c r="G6" s="38"/>
    </row>
    <row r="7" spans="1:12" ht="19.5" customHeight="1">
      <c r="A7" s="5" t="s">
        <v>8</v>
      </c>
      <c r="B7" s="105" t="s">
        <v>1</v>
      </c>
      <c r="C7" s="106"/>
      <c r="D7" s="2" t="s">
        <v>2</v>
      </c>
      <c r="E7" s="2" t="s">
        <v>25</v>
      </c>
      <c r="F7" s="105" t="s">
        <v>7</v>
      </c>
      <c r="G7" s="107"/>
      <c r="I7" s="6"/>
      <c r="J7" s="7"/>
      <c r="K7" s="8"/>
      <c r="L7" s="8"/>
    </row>
    <row r="8" spans="1:12" ht="19.5" customHeight="1">
      <c r="A8" s="108"/>
      <c r="B8" s="109" t="s">
        <v>135</v>
      </c>
      <c r="C8" s="110"/>
      <c r="D8" s="44">
        <v>1</v>
      </c>
      <c r="E8" s="28" t="s">
        <v>21</v>
      </c>
      <c r="F8" s="111">
        <v>500000</v>
      </c>
      <c r="G8" s="112"/>
      <c r="I8" s="6"/>
      <c r="J8" s="7"/>
      <c r="K8" s="8"/>
      <c r="L8" s="8"/>
    </row>
    <row r="9" spans="1:12" ht="19.5" customHeight="1">
      <c r="A9" s="108"/>
      <c r="B9" s="109" t="s">
        <v>136</v>
      </c>
      <c r="C9" s="110"/>
      <c r="D9" s="44">
        <v>1</v>
      </c>
      <c r="E9" s="28" t="s">
        <v>21</v>
      </c>
      <c r="F9" s="111">
        <v>500000</v>
      </c>
      <c r="G9" s="112"/>
      <c r="I9" s="1"/>
      <c r="J9" s="1"/>
      <c r="K9" s="1"/>
      <c r="L9" s="1"/>
    </row>
    <row r="10" spans="1:12" ht="33.6" customHeight="1">
      <c r="A10" s="93" t="s">
        <v>85</v>
      </c>
      <c r="B10" s="94" t="s">
        <v>84</v>
      </c>
      <c r="C10" s="95">
        <v>0</v>
      </c>
      <c r="D10" s="86">
        <f>SUM(D8:D9)</f>
        <v>2</v>
      </c>
      <c r="E10" s="87" t="s">
        <v>9</v>
      </c>
      <c r="F10" s="115">
        <f>SUM(F8:G9)</f>
        <v>1000000</v>
      </c>
      <c r="G10" s="116"/>
      <c r="I10" s="1"/>
      <c r="J10" s="1"/>
      <c r="K10" s="1"/>
      <c r="L10" s="1"/>
    </row>
    <row r="11" spans="1:12" ht="19.5" customHeight="1">
      <c r="A11" s="4" t="s">
        <v>52</v>
      </c>
      <c r="B11" s="90"/>
      <c r="C11" s="91"/>
      <c r="D11" s="56"/>
      <c r="E11" s="56"/>
      <c r="F11" s="119"/>
      <c r="G11" s="122"/>
      <c r="I11" s="1"/>
      <c r="J11" s="1"/>
      <c r="K11" s="1"/>
      <c r="L11" s="1"/>
    </row>
    <row r="12" spans="1:12" ht="19.5" customHeight="1">
      <c r="A12" s="113" t="s">
        <v>3</v>
      </c>
      <c r="B12" s="114"/>
      <c r="C12" s="106"/>
      <c r="D12" s="2" t="s">
        <v>4</v>
      </c>
      <c r="E12" s="123" t="s">
        <v>5</v>
      </c>
      <c r="F12" s="124"/>
      <c r="G12" s="125"/>
    </row>
    <row r="13" spans="1:12" ht="19.5" customHeight="1">
      <c r="A13" s="120" t="s">
        <v>20</v>
      </c>
      <c r="B13" s="138" t="s">
        <v>131</v>
      </c>
      <c r="C13" s="140"/>
      <c r="D13" s="42">
        <v>0.15</v>
      </c>
      <c r="E13" s="126">
        <f>F10*D13</f>
        <v>150000</v>
      </c>
      <c r="F13" s="126"/>
      <c r="G13" s="127"/>
    </row>
    <row r="14" spans="1:12" ht="19.5" customHeight="1">
      <c r="A14" s="108"/>
      <c r="B14" s="138" t="s">
        <v>138</v>
      </c>
      <c r="C14" s="140"/>
      <c r="D14" s="10">
        <v>0.1</v>
      </c>
      <c r="E14" s="128">
        <f>(F10*(1-D13)*D14)</f>
        <v>85000</v>
      </c>
      <c r="F14" s="126"/>
      <c r="G14" s="127"/>
    </row>
    <row r="15" spans="1:12" ht="19.5" customHeight="1">
      <c r="A15" s="121"/>
      <c r="B15" s="138" t="s">
        <v>137</v>
      </c>
      <c r="C15" s="140"/>
      <c r="D15" s="45">
        <v>0.15</v>
      </c>
      <c r="E15" s="126">
        <f>(F10*(1-D13)*(1-D14)*D15)</f>
        <v>114750</v>
      </c>
      <c r="F15" s="126"/>
      <c r="G15" s="127"/>
      <c r="H15" s="3"/>
      <c r="I15" s="6"/>
      <c r="J15" s="7"/>
      <c r="K15" s="8"/>
      <c r="L15" s="8"/>
    </row>
    <row r="16" spans="1:12" ht="19.5" customHeight="1">
      <c r="A16" s="141" t="s">
        <v>46</v>
      </c>
      <c r="B16" s="142"/>
      <c r="C16" s="143"/>
      <c r="D16" s="144">
        <f>ROUNDUP(SUM(E13:G15),-3)</f>
        <v>350000</v>
      </c>
      <c r="E16" s="145"/>
      <c r="F16" s="145"/>
      <c r="G16" s="146"/>
      <c r="H16" s="3"/>
      <c r="I16" s="6"/>
      <c r="J16" s="7"/>
      <c r="K16" s="8"/>
      <c r="L16" s="8"/>
    </row>
    <row r="17" spans="1:12" ht="23.25" customHeight="1">
      <c r="A17" s="129" t="s">
        <v>51</v>
      </c>
      <c r="B17" s="130"/>
      <c r="C17" s="131"/>
      <c r="D17" s="132">
        <f>F10-D16</f>
        <v>650000</v>
      </c>
      <c r="E17" s="133"/>
      <c r="F17" s="133"/>
      <c r="G17" s="134"/>
      <c r="H17" s="3"/>
      <c r="I17" s="1"/>
      <c r="J17" s="1"/>
      <c r="K17" s="1"/>
      <c r="L17" s="1"/>
    </row>
    <row r="18" spans="1:12" s="46" customFormat="1" ht="23.25" customHeight="1">
      <c r="A18" s="129" t="s">
        <v>83</v>
      </c>
      <c r="B18" s="130"/>
      <c r="C18" s="131"/>
      <c r="D18" s="132">
        <f>SUM(D17+C10)</f>
        <v>650000</v>
      </c>
      <c r="E18" s="133"/>
      <c r="F18" s="133"/>
      <c r="G18" s="134"/>
      <c r="H18" s="48"/>
    </row>
    <row r="19" spans="1:12" s="46" customFormat="1" ht="23.25" customHeight="1">
      <c r="A19" s="129" t="s">
        <v>88</v>
      </c>
      <c r="B19" s="130"/>
      <c r="C19" s="131"/>
      <c r="D19" s="147">
        <f>SUM(D18/3)</f>
        <v>216666.66666666666</v>
      </c>
      <c r="E19" s="148"/>
      <c r="F19" s="148"/>
      <c r="G19" s="149"/>
      <c r="H19" s="48"/>
    </row>
    <row r="20" spans="1:12" s="46" customFormat="1" ht="23.25" customHeight="1">
      <c r="A20" s="129" t="s">
        <v>89</v>
      </c>
      <c r="B20" s="130"/>
      <c r="C20" s="131"/>
      <c r="D20" s="147">
        <f>SUM(D18/6)</f>
        <v>108333.33333333333</v>
      </c>
      <c r="E20" s="148"/>
      <c r="F20" s="148"/>
      <c r="G20" s="149"/>
      <c r="H20" s="48"/>
    </row>
    <row r="21" spans="1:12" s="46" customFormat="1" ht="23.25" customHeight="1">
      <c r="A21" s="129" t="s">
        <v>90</v>
      </c>
      <c r="B21" s="130"/>
      <c r="C21" s="131"/>
      <c r="D21" s="147">
        <f>SUM(D17/D10)</f>
        <v>325000</v>
      </c>
      <c r="E21" s="148"/>
      <c r="F21" s="148"/>
      <c r="G21" s="149"/>
      <c r="H21" s="48"/>
    </row>
    <row r="22" spans="1:12" ht="16.5" customHeight="1">
      <c r="A22" s="12"/>
      <c r="B22" s="119"/>
      <c r="C22" s="119"/>
      <c r="D22" s="119"/>
      <c r="E22" s="119"/>
      <c r="F22" s="119"/>
      <c r="G22" s="11"/>
      <c r="I22" s="9"/>
      <c r="J22" s="1"/>
      <c r="K22" s="1"/>
      <c r="L22" s="1"/>
    </row>
    <row r="23" spans="1:12" ht="16.5" customHeight="1">
      <c r="A23" s="21" t="s">
        <v>6</v>
      </c>
      <c r="B23" s="43"/>
      <c r="C23" s="43"/>
      <c r="D23" s="43"/>
      <c r="E23" s="43"/>
      <c r="F23" s="43"/>
      <c r="G23" s="11"/>
      <c r="I23" s="9"/>
      <c r="J23" s="1"/>
      <c r="K23" s="1"/>
      <c r="L23" s="1"/>
    </row>
    <row r="24" spans="1:12" ht="16.5" customHeight="1">
      <c r="A24" s="12" t="s">
        <v>0</v>
      </c>
      <c r="B24" s="43"/>
      <c r="C24" s="43"/>
      <c r="D24" s="43"/>
      <c r="E24" s="43"/>
      <c r="F24" s="43"/>
      <c r="G24" s="11"/>
      <c r="I24" s="1"/>
      <c r="J24" s="1"/>
      <c r="K24" s="1"/>
      <c r="L24" s="1"/>
    </row>
    <row r="25" spans="1:12" ht="16.5" customHeight="1">
      <c r="A25" s="12" t="s">
        <v>54</v>
      </c>
      <c r="B25" s="43"/>
      <c r="C25" s="43"/>
      <c r="D25" s="43"/>
      <c r="E25" s="43"/>
      <c r="F25" s="43"/>
      <c r="G25" s="11"/>
      <c r="I25" s="1"/>
      <c r="J25" s="1"/>
      <c r="K25" s="1"/>
      <c r="L25" s="1"/>
    </row>
    <row r="26" spans="1:12" ht="16.5" customHeight="1">
      <c r="A26" s="12" t="s">
        <v>56</v>
      </c>
      <c r="B26" s="13"/>
      <c r="C26" s="13"/>
      <c r="D26" s="14"/>
      <c r="E26" s="14"/>
      <c r="F26" s="15"/>
      <c r="G26" s="16"/>
    </row>
    <row r="27" spans="1:12" ht="16.5" customHeight="1">
      <c r="A27" s="12"/>
      <c r="B27" s="13"/>
      <c r="C27" s="13"/>
      <c r="D27" s="14"/>
      <c r="E27" s="14"/>
      <c r="F27" s="15"/>
      <c r="G27" s="16"/>
    </row>
    <row r="28" spans="1:12" ht="16.5" customHeight="1">
      <c r="A28" s="21" t="s">
        <v>57</v>
      </c>
      <c r="B28" s="17"/>
      <c r="C28" s="17"/>
      <c r="D28" s="18"/>
      <c r="E28" s="18"/>
      <c r="F28" s="18"/>
      <c r="G28" s="19"/>
    </row>
    <row r="29" spans="1:12" ht="16.5" customHeight="1">
      <c r="A29" s="12" t="s">
        <v>10</v>
      </c>
      <c r="B29" s="20"/>
      <c r="C29" s="20"/>
      <c r="D29" s="18"/>
      <c r="E29" s="18"/>
      <c r="F29" s="18"/>
      <c r="G29" s="19"/>
    </row>
    <row r="30" spans="1:12" ht="16.5" customHeight="1">
      <c r="A30" s="12" t="s">
        <v>11</v>
      </c>
      <c r="B30" s="20"/>
      <c r="C30" s="20"/>
      <c r="D30" s="18"/>
      <c r="E30" s="18"/>
      <c r="F30" s="18"/>
      <c r="G30" s="19"/>
    </row>
    <row r="31" spans="1:12" ht="16.5" customHeight="1">
      <c r="A31" s="21" t="s">
        <v>33</v>
      </c>
      <c r="B31" s="22"/>
      <c r="C31" s="22"/>
      <c r="D31" s="18"/>
      <c r="E31" s="18"/>
      <c r="F31" s="18"/>
      <c r="G31" s="19"/>
    </row>
    <row r="32" spans="1:12" ht="16.5" customHeight="1">
      <c r="A32" s="12" t="s">
        <v>53</v>
      </c>
      <c r="B32" s="23"/>
      <c r="C32" s="23"/>
      <c r="D32" s="18"/>
      <c r="E32" s="18"/>
      <c r="F32" s="18"/>
      <c r="G32" s="19"/>
    </row>
    <row r="33" spans="1:7" ht="16.5" customHeight="1">
      <c r="A33" s="12" t="s">
        <v>55</v>
      </c>
      <c r="B33" s="23"/>
      <c r="C33" s="23"/>
      <c r="D33" s="18"/>
      <c r="E33" s="18"/>
      <c r="F33" s="18"/>
      <c r="G33" s="19"/>
    </row>
    <row r="34" spans="1:7">
      <c r="A34" s="12" t="s">
        <v>13</v>
      </c>
      <c r="B34" s="24"/>
      <c r="C34" s="24"/>
      <c r="D34" s="18"/>
      <c r="E34" s="18"/>
      <c r="F34" s="18"/>
      <c r="G34" s="19"/>
    </row>
    <row r="35" spans="1:7" ht="14.25" thickBot="1">
      <c r="A35" s="25"/>
      <c r="B35" s="26"/>
      <c r="C35" s="26"/>
      <c r="D35" s="26"/>
      <c r="E35" s="26"/>
      <c r="F35" s="26"/>
      <c r="G35" s="27"/>
    </row>
  </sheetData>
  <mergeCells count="33">
    <mergeCell ref="B13:C13"/>
    <mergeCell ref="B14:C14"/>
    <mergeCell ref="B15:C15"/>
    <mergeCell ref="A16:C16"/>
    <mergeCell ref="D16:G16"/>
    <mergeCell ref="A19:C19"/>
    <mergeCell ref="A20:C20"/>
    <mergeCell ref="A18:C18"/>
    <mergeCell ref="D18:G18"/>
    <mergeCell ref="A21:C21"/>
    <mergeCell ref="D19:G19"/>
    <mergeCell ref="D20:G20"/>
    <mergeCell ref="D21:G21"/>
    <mergeCell ref="A12:C12"/>
    <mergeCell ref="F9:G9"/>
    <mergeCell ref="F10:G10"/>
    <mergeCell ref="B22:F22"/>
    <mergeCell ref="A13:A15"/>
    <mergeCell ref="F11:G11"/>
    <mergeCell ref="E12:G12"/>
    <mergeCell ref="E13:G13"/>
    <mergeCell ref="E14:G14"/>
    <mergeCell ref="E15:G15"/>
    <mergeCell ref="A17:C17"/>
    <mergeCell ref="D17:G17"/>
    <mergeCell ref="A1:G3"/>
    <mergeCell ref="F4:G4"/>
    <mergeCell ref="B7:C7"/>
    <mergeCell ref="F7:G7"/>
    <mergeCell ref="A8:A9"/>
    <mergeCell ref="B8:C8"/>
    <mergeCell ref="F8:G8"/>
    <mergeCell ref="B9:C9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L45"/>
  <sheetViews>
    <sheetView view="pageBreakPreview" zoomScaleNormal="100" zoomScaleSheetLayoutView="100" workbookViewId="0">
      <selection activeCell="B18" sqref="B18:C18"/>
    </sheetView>
  </sheetViews>
  <sheetFormatPr defaultColWidth="8.88671875" defaultRowHeight="13.5"/>
  <cols>
    <col min="1" max="1" width="8.88671875" style="1"/>
    <col min="2" max="2" width="29.21875" style="1" customWidth="1"/>
    <col min="3" max="3" width="14.5546875" style="1" customWidth="1"/>
    <col min="4" max="4" width="11.6640625" style="1" bestFit="1" customWidth="1"/>
    <col min="5" max="5" width="10.77734375" style="1" customWidth="1"/>
    <col min="6" max="6" width="8.109375" style="1" customWidth="1"/>
    <col min="7" max="7" width="10.5546875" style="1" customWidth="1"/>
    <col min="8" max="8" width="5.6640625" style="1" customWidth="1"/>
    <col min="9" max="9" width="21.6640625" style="3" bestFit="1" customWidth="1"/>
    <col min="10" max="10" width="19.44140625" style="3" bestFit="1" customWidth="1"/>
    <col min="11" max="11" width="20" style="3" bestFit="1" customWidth="1"/>
    <col min="12" max="12" width="19.44140625" style="3" bestFit="1" customWidth="1"/>
    <col min="13" max="16384" width="8.88671875" style="1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36"/>
      <c r="B4" s="37"/>
      <c r="C4" s="33"/>
      <c r="D4" s="29"/>
      <c r="E4" s="30"/>
      <c r="F4" s="103"/>
      <c r="G4" s="104"/>
    </row>
    <row r="5" spans="1:12" ht="27" customHeight="1">
      <c r="A5" s="36"/>
      <c r="B5" s="37"/>
      <c r="C5" s="39" t="s">
        <v>16</v>
      </c>
      <c r="D5" s="40">
        <f ca="1">TODAY()</f>
        <v>46031</v>
      </c>
      <c r="E5" s="84" t="s">
        <v>18</v>
      </c>
      <c r="F5" s="75" t="s">
        <v>86</v>
      </c>
      <c r="G5" s="78"/>
    </row>
    <row r="6" spans="1:12" ht="19.5" customHeight="1">
      <c r="A6" s="31" t="s">
        <v>47</v>
      </c>
      <c r="B6" s="32"/>
      <c r="C6" s="33"/>
      <c r="D6" s="34"/>
      <c r="E6" s="82" t="s">
        <v>17</v>
      </c>
      <c r="F6" s="75" t="s">
        <v>87</v>
      </c>
      <c r="G6" s="81"/>
    </row>
    <row r="7" spans="1:12" ht="19.5" customHeight="1">
      <c r="A7" s="5" t="s">
        <v>8</v>
      </c>
      <c r="B7" s="105" t="s">
        <v>1</v>
      </c>
      <c r="C7" s="106"/>
      <c r="D7" s="2" t="s">
        <v>2</v>
      </c>
      <c r="E7" s="2" t="s">
        <v>25</v>
      </c>
      <c r="F7" s="105" t="s">
        <v>7</v>
      </c>
      <c r="G7" s="107"/>
      <c r="I7" s="6"/>
      <c r="J7" s="7"/>
      <c r="K7" s="8"/>
      <c r="L7" s="8"/>
    </row>
    <row r="8" spans="1:12" ht="19.5" customHeight="1">
      <c r="A8" s="120" t="s">
        <v>73</v>
      </c>
      <c r="B8" s="109" t="s">
        <v>79</v>
      </c>
      <c r="C8" s="110"/>
      <c r="D8" s="44">
        <v>1</v>
      </c>
      <c r="E8" s="71" t="s">
        <v>21</v>
      </c>
      <c r="F8" s="111">
        <v>500000</v>
      </c>
      <c r="G8" s="112"/>
      <c r="I8" s="6"/>
      <c r="J8" s="7"/>
      <c r="K8" s="8"/>
      <c r="L8" s="8"/>
    </row>
    <row r="9" spans="1:12" ht="19.5" customHeight="1">
      <c r="A9" s="108"/>
      <c r="B9" s="109" t="s">
        <v>92</v>
      </c>
      <c r="C9" s="110"/>
      <c r="D9" s="44">
        <v>1</v>
      </c>
      <c r="E9" s="28" t="s">
        <v>94</v>
      </c>
      <c r="F9" s="111">
        <v>500000</v>
      </c>
      <c r="G9" s="112"/>
      <c r="I9" s="1"/>
      <c r="J9" s="1"/>
      <c r="K9" s="1"/>
      <c r="L9" s="1"/>
    </row>
    <row r="10" spans="1:12" ht="19.5" customHeight="1">
      <c r="A10" s="108"/>
      <c r="B10" s="109" t="s">
        <v>14</v>
      </c>
      <c r="C10" s="110"/>
      <c r="D10" s="44">
        <v>1</v>
      </c>
      <c r="E10" s="71" t="s">
        <v>21</v>
      </c>
      <c r="F10" s="111">
        <v>500000</v>
      </c>
      <c r="G10" s="112"/>
      <c r="I10" s="9"/>
      <c r="J10" s="1"/>
      <c r="K10" s="1"/>
      <c r="L10" s="1"/>
    </row>
    <row r="11" spans="1:12" ht="19.5" customHeight="1">
      <c r="A11" s="108"/>
      <c r="B11" s="151" t="s">
        <v>15</v>
      </c>
      <c r="C11" s="152"/>
      <c r="D11" s="44">
        <v>1</v>
      </c>
      <c r="E11" s="71" t="s">
        <v>21</v>
      </c>
      <c r="F11" s="111">
        <v>500000</v>
      </c>
      <c r="G11" s="112"/>
      <c r="I11" s="9"/>
      <c r="J11" s="1"/>
      <c r="K11" s="1"/>
      <c r="L11" s="1"/>
    </row>
    <row r="12" spans="1:12" ht="19.5" customHeight="1">
      <c r="A12" s="108"/>
      <c r="B12" s="151" t="s">
        <v>93</v>
      </c>
      <c r="C12" s="152"/>
      <c r="D12" s="44">
        <v>1</v>
      </c>
      <c r="E12" s="71" t="s">
        <v>95</v>
      </c>
      <c r="F12" s="111">
        <v>500000</v>
      </c>
      <c r="G12" s="112"/>
      <c r="I12" s="1"/>
      <c r="J12" s="1"/>
      <c r="K12" s="1"/>
      <c r="L12" s="1"/>
    </row>
    <row r="13" spans="1:12" s="46" customFormat="1" ht="19.5" customHeight="1">
      <c r="A13" s="108"/>
      <c r="B13" s="109" t="s">
        <v>74</v>
      </c>
      <c r="C13" s="110"/>
      <c r="D13" s="44">
        <v>1</v>
      </c>
      <c r="E13" s="71" t="s">
        <v>96</v>
      </c>
      <c r="F13" s="117">
        <v>900000</v>
      </c>
      <c r="G13" s="118"/>
    </row>
    <row r="14" spans="1:12" s="46" customFormat="1" ht="19.5" customHeight="1">
      <c r="A14" s="108"/>
      <c r="B14" s="109" t="s">
        <v>75</v>
      </c>
      <c r="C14" s="110"/>
      <c r="D14" s="44">
        <v>1</v>
      </c>
      <c r="E14" s="71" t="s">
        <v>96</v>
      </c>
      <c r="F14" s="117">
        <v>900000</v>
      </c>
      <c r="G14" s="118"/>
    </row>
    <row r="15" spans="1:12" s="46" customFormat="1" ht="19.5" customHeight="1">
      <c r="A15" s="108"/>
      <c r="B15" s="109" t="s">
        <v>76</v>
      </c>
      <c r="C15" s="110"/>
      <c r="D15" s="44">
        <v>1</v>
      </c>
      <c r="E15" s="71" t="s">
        <v>96</v>
      </c>
      <c r="F15" s="117">
        <v>900000</v>
      </c>
      <c r="G15" s="118"/>
    </row>
    <row r="16" spans="1:12" s="46" customFormat="1" ht="19.5" customHeight="1">
      <c r="A16" s="108"/>
      <c r="B16" s="109" t="s">
        <v>77</v>
      </c>
      <c r="C16" s="110"/>
      <c r="D16" s="44">
        <v>1</v>
      </c>
      <c r="E16" s="71" t="s">
        <v>96</v>
      </c>
      <c r="F16" s="117">
        <v>900000</v>
      </c>
      <c r="G16" s="118"/>
    </row>
    <row r="17" spans="1:12" s="46" customFormat="1" ht="19.5" customHeight="1">
      <c r="A17" s="108"/>
      <c r="B17" s="109" t="s">
        <v>97</v>
      </c>
      <c r="C17" s="110"/>
      <c r="D17" s="44">
        <v>1</v>
      </c>
      <c r="E17" s="71" t="s">
        <v>96</v>
      </c>
      <c r="F17" s="117">
        <v>900000</v>
      </c>
      <c r="G17" s="118"/>
    </row>
    <row r="18" spans="1:12" ht="19.5" customHeight="1">
      <c r="A18" s="108"/>
      <c r="B18" s="109" t="s">
        <v>106</v>
      </c>
      <c r="C18" s="110"/>
      <c r="D18" s="44">
        <v>1</v>
      </c>
      <c r="E18" s="28" t="s">
        <v>78</v>
      </c>
      <c r="F18" s="117">
        <v>900000</v>
      </c>
      <c r="G18" s="118"/>
      <c r="I18" s="6"/>
      <c r="J18" s="7"/>
      <c r="K18" s="8"/>
      <c r="L18" s="8"/>
    </row>
    <row r="19" spans="1:12" ht="33.6" customHeight="1">
      <c r="A19" s="93" t="s">
        <v>85</v>
      </c>
      <c r="B19" s="94" t="s">
        <v>84</v>
      </c>
      <c r="C19" s="95">
        <v>500000</v>
      </c>
      <c r="D19" s="86">
        <f>SUM(D8:D18)</f>
        <v>11</v>
      </c>
      <c r="E19" s="88" t="s">
        <v>9</v>
      </c>
      <c r="F19" s="150">
        <f>SUM(F8:G18)</f>
        <v>7900000</v>
      </c>
      <c r="G19" s="116"/>
      <c r="I19" s="1"/>
      <c r="J19" s="1"/>
      <c r="K19" s="1"/>
      <c r="L19" s="1"/>
    </row>
    <row r="20" spans="1:12" ht="19.5" customHeight="1">
      <c r="A20" s="49" t="s">
        <v>52</v>
      </c>
      <c r="B20" s="90"/>
      <c r="C20" s="91"/>
      <c r="D20" s="56"/>
      <c r="E20" s="56"/>
      <c r="F20" s="119"/>
      <c r="G20" s="122"/>
      <c r="I20" s="1"/>
      <c r="J20" s="1"/>
      <c r="K20" s="1"/>
      <c r="L20" s="1"/>
    </row>
    <row r="21" spans="1:12" ht="19.5" customHeight="1">
      <c r="A21" s="113" t="s">
        <v>3</v>
      </c>
      <c r="B21" s="114"/>
      <c r="C21" s="106"/>
      <c r="D21" s="47" t="s">
        <v>4</v>
      </c>
      <c r="E21" s="123" t="s">
        <v>5</v>
      </c>
      <c r="F21" s="124"/>
      <c r="G21" s="125"/>
    </row>
    <row r="22" spans="1:12" ht="19.5" customHeight="1">
      <c r="A22" s="120" t="s">
        <v>20</v>
      </c>
      <c r="B22" s="138" t="s">
        <v>100</v>
      </c>
      <c r="C22" s="139"/>
      <c r="D22" s="85">
        <v>0.40500000000000003</v>
      </c>
      <c r="E22" s="126">
        <f>F19*D22</f>
        <v>3199500</v>
      </c>
      <c r="F22" s="126"/>
      <c r="G22" s="127"/>
    </row>
    <row r="23" spans="1:12" ht="19.5" customHeight="1">
      <c r="A23" s="108"/>
      <c r="B23" s="138" t="s">
        <v>35</v>
      </c>
      <c r="C23" s="140"/>
      <c r="D23" s="53"/>
      <c r="E23" s="128">
        <f>(F19*(1-D22)*D23)</f>
        <v>0</v>
      </c>
      <c r="F23" s="126"/>
      <c r="G23" s="127"/>
      <c r="H23" s="3"/>
      <c r="I23" s="6"/>
      <c r="J23" s="7"/>
      <c r="K23" s="8"/>
      <c r="L23" s="8"/>
    </row>
    <row r="24" spans="1:12" ht="19.5" customHeight="1">
      <c r="A24" s="121"/>
      <c r="B24" s="138" t="s">
        <v>34</v>
      </c>
      <c r="C24" s="140"/>
      <c r="D24" s="45"/>
      <c r="E24" s="126">
        <f>(F19*(1-D22)*(1-D23)*D24)</f>
        <v>0</v>
      </c>
      <c r="F24" s="126"/>
      <c r="G24" s="127"/>
      <c r="H24" s="3"/>
      <c r="I24" s="6"/>
      <c r="J24" s="7"/>
      <c r="K24" s="8"/>
      <c r="L24" s="8"/>
    </row>
    <row r="25" spans="1:12" ht="23.25" customHeight="1">
      <c r="A25" s="141" t="s">
        <v>46</v>
      </c>
      <c r="B25" s="142"/>
      <c r="C25" s="143"/>
      <c r="D25" s="144">
        <f>ROUNDUP(SUM(E22:G24),-3)</f>
        <v>3200000</v>
      </c>
      <c r="E25" s="145"/>
      <c r="F25" s="145"/>
      <c r="G25" s="146"/>
      <c r="H25" s="3"/>
      <c r="I25" s="1"/>
      <c r="J25" s="1"/>
      <c r="K25" s="1"/>
      <c r="L25" s="1"/>
    </row>
    <row r="26" spans="1:12" ht="23.25" customHeight="1">
      <c r="A26" s="129" t="s">
        <v>51</v>
      </c>
      <c r="B26" s="130"/>
      <c r="C26" s="131"/>
      <c r="D26" s="132">
        <f>F19-D25</f>
        <v>4700000</v>
      </c>
      <c r="E26" s="133"/>
      <c r="F26" s="133"/>
      <c r="G26" s="134"/>
      <c r="H26" s="3"/>
      <c r="I26" s="1"/>
      <c r="J26" s="1"/>
      <c r="K26" s="1"/>
      <c r="L26" s="1"/>
    </row>
    <row r="27" spans="1:12" s="46" customFormat="1" ht="23.25" customHeight="1">
      <c r="A27" s="129" t="s">
        <v>83</v>
      </c>
      <c r="B27" s="130"/>
      <c r="C27" s="131"/>
      <c r="D27" s="132">
        <f>SUM(D26+C19)</f>
        <v>5200000</v>
      </c>
      <c r="E27" s="133"/>
      <c r="F27" s="133"/>
      <c r="G27" s="134"/>
      <c r="H27" s="48"/>
    </row>
    <row r="28" spans="1:12" s="46" customFormat="1" ht="23.25" customHeight="1">
      <c r="A28" s="129" t="s">
        <v>88</v>
      </c>
      <c r="B28" s="130"/>
      <c r="C28" s="131"/>
      <c r="D28" s="147">
        <f>SUM(D27/3)</f>
        <v>1733333.3333333333</v>
      </c>
      <c r="E28" s="148"/>
      <c r="F28" s="148"/>
      <c r="G28" s="149"/>
      <c r="H28" s="48"/>
    </row>
    <row r="29" spans="1:12" s="46" customFormat="1" ht="23.25" customHeight="1">
      <c r="A29" s="129" t="s">
        <v>89</v>
      </c>
      <c r="B29" s="130"/>
      <c r="C29" s="131"/>
      <c r="D29" s="147">
        <f>SUM(D27/6)</f>
        <v>866666.66666666663</v>
      </c>
      <c r="E29" s="148"/>
      <c r="F29" s="148"/>
      <c r="G29" s="149"/>
      <c r="H29" s="48"/>
    </row>
    <row r="30" spans="1:12" s="46" customFormat="1" ht="23.25" customHeight="1">
      <c r="A30" s="129" t="s">
        <v>90</v>
      </c>
      <c r="B30" s="130"/>
      <c r="C30" s="131"/>
      <c r="D30" s="147">
        <f>SUM(D26/D19)</f>
        <v>427272.72727272729</v>
      </c>
      <c r="E30" s="148"/>
      <c r="F30" s="148"/>
      <c r="G30" s="149"/>
      <c r="H30" s="48"/>
    </row>
    <row r="31" spans="1:12" s="46" customFormat="1" ht="23.25" customHeight="1">
      <c r="A31" s="135" t="s">
        <v>91</v>
      </c>
      <c r="B31" s="136"/>
      <c r="C31" s="136"/>
      <c r="D31" s="136"/>
      <c r="E31" s="136"/>
      <c r="F31" s="136"/>
      <c r="G31" s="137"/>
      <c r="H31" s="48"/>
    </row>
    <row r="32" spans="1:12" s="46" customFormat="1" ht="16.5" customHeight="1">
      <c r="A32" s="55"/>
      <c r="B32" s="119"/>
      <c r="C32" s="119"/>
      <c r="D32" s="119"/>
      <c r="E32" s="119"/>
      <c r="F32" s="119"/>
      <c r="G32" s="54"/>
      <c r="I32" s="52"/>
    </row>
    <row r="33" spans="1:12" s="46" customFormat="1" ht="16.5" customHeight="1">
      <c r="A33" s="64" t="s">
        <v>6</v>
      </c>
      <c r="B33" s="92"/>
      <c r="C33" s="92"/>
      <c r="D33" s="92"/>
      <c r="E33" s="92"/>
      <c r="F33" s="92"/>
      <c r="G33" s="54"/>
      <c r="I33" s="52"/>
    </row>
    <row r="34" spans="1:12" s="46" customFormat="1" ht="16.5" customHeight="1">
      <c r="A34" s="55" t="s">
        <v>0</v>
      </c>
      <c r="B34" s="92"/>
      <c r="C34" s="92"/>
      <c r="D34" s="92"/>
      <c r="E34" s="92"/>
      <c r="F34" s="92"/>
      <c r="G34" s="54"/>
    </row>
    <row r="35" spans="1:12" s="46" customFormat="1" ht="16.5" customHeight="1">
      <c r="A35" s="55" t="s">
        <v>54</v>
      </c>
      <c r="B35" s="92"/>
      <c r="C35" s="92"/>
      <c r="D35" s="92"/>
      <c r="E35" s="92"/>
      <c r="F35" s="92"/>
      <c r="G35" s="54"/>
    </row>
    <row r="36" spans="1:12" s="46" customFormat="1" ht="16.5" customHeight="1">
      <c r="A36" s="55" t="s">
        <v>56</v>
      </c>
      <c r="B36" s="56"/>
      <c r="C36" s="56"/>
      <c r="D36" s="57"/>
      <c r="E36" s="57"/>
      <c r="F36" s="58"/>
      <c r="G36" s="59"/>
      <c r="I36" s="48"/>
      <c r="J36" s="48"/>
      <c r="K36" s="48"/>
      <c r="L36" s="48"/>
    </row>
    <row r="37" spans="1:12" s="46" customFormat="1" ht="16.5" customHeight="1">
      <c r="A37" s="55"/>
      <c r="B37" s="56"/>
      <c r="C37" s="56"/>
      <c r="D37" s="57"/>
      <c r="E37" s="57"/>
      <c r="F37" s="58"/>
      <c r="G37" s="59"/>
      <c r="I37" s="48"/>
      <c r="J37" s="48"/>
      <c r="K37" s="48"/>
      <c r="L37" s="48"/>
    </row>
    <row r="38" spans="1:12" s="46" customFormat="1" ht="16.5" customHeight="1">
      <c r="A38" s="64" t="s">
        <v>57</v>
      </c>
      <c r="B38" s="60"/>
      <c r="C38" s="60"/>
      <c r="D38" s="61"/>
      <c r="E38" s="61"/>
      <c r="F38" s="61"/>
      <c r="G38" s="62"/>
      <c r="I38" s="48"/>
      <c r="J38" s="48"/>
      <c r="K38" s="48"/>
      <c r="L38" s="48"/>
    </row>
    <row r="39" spans="1:12" s="46" customFormat="1" ht="16.5" customHeight="1">
      <c r="A39" s="55" t="s">
        <v>10</v>
      </c>
      <c r="B39" s="63"/>
      <c r="C39" s="63"/>
      <c r="D39" s="61"/>
      <c r="E39" s="61"/>
      <c r="F39" s="61"/>
      <c r="G39" s="62"/>
      <c r="I39" s="48"/>
      <c r="J39" s="48"/>
      <c r="K39" s="48"/>
      <c r="L39" s="48"/>
    </row>
    <row r="40" spans="1:12" s="46" customFormat="1" ht="16.5" customHeight="1">
      <c r="A40" s="55" t="s">
        <v>11</v>
      </c>
      <c r="B40" s="63"/>
      <c r="C40" s="63"/>
      <c r="D40" s="61"/>
      <c r="E40" s="61"/>
      <c r="F40" s="61"/>
      <c r="G40" s="62"/>
      <c r="I40" s="48"/>
      <c r="J40" s="48"/>
      <c r="K40" s="48"/>
      <c r="L40" s="48"/>
    </row>
    <row r="41" spans="1:12" s="46" customFormat="1" ht="16.5" customHeight="1">
      <c r="A41" s="64" t="s">
        <v>33</v>
      </c>
      <c r="B41" s="65"/>
      <c r="C41" s="65"/>
      <c r="D41" s="61"/>
      <c r="E41" s="61"/>
      <c r="F41" s="61"/>
      <c r="G41" s="62"/>
      <c r="I41" s="48"/>
      <c r="J41" s="48"/>
      <c r="K41" s="48"/>
      <c r="L41" s="48"/>
    </row>
    <row r="42" spans="1:12" s="46" customFormat="1" ht="16.5" customHeight="1">
      <c r="A42" s="55" t="s">
        <v>12</v>
      </c>
      <c r="B42" s="66"/>
      <c r="C42" s="66"/>
      <c r="D42" s="61"/>
      <c r="E42" s="61"/>
      <c r="F42" s="61"/>
      <c r="G42" s="62"/>
      <c r="I42" s="48"/>
      <c r="J42" s="48"/>
      <c r="K42" s="48"/>
      <c r="L42" s="48"/>
    </row>
    <row r="43" spans="1:12" s="46" customFormat="1" ht="16.5" customHeight="1">
      <c r="A43" s="55" t="s">
        <v>55</v>
      </c>
      <c r="B43" s="66"/>
      <c r="C43" s="66"/>
      <c r="D43" s="61"/>
      <c r="E43" s="61"/>
      <c r="F43" s="61"/>
      <c r="G43" s="62"/>
      <c r="I43" s="48"/>
      <c r="J43" s="48"/>
      <c r="K43" s="48"/>
      <c r="L43" s="48"/>
    </row>
    <row r="44" spans="1:12" s="46" customFormat="1">
      <c r="A44" s="55" t="s">
        <v>13</v>
      </c>
      <c r="B44" s="67"/>
      <c r="C44" s="67"/>
      <c r="D44" s="61"/>
      <c r="E44" s="61"/>
      <c r="F44" s="61"/>
      <c r="G44" s="62"/>
      <c r="I44" s="48"/>
      <c r="J44" s="48"/>
      <c r="K44" s="48"/>
      <c r="L44" s="48"/>
    </row>
    <row r="45" spans="1:12" s="46" customFormat="1" ht="14.25" thickBot="1">
      <c r="A45" s="68"/>
      <c r="B45" s="69"/>
      <c r="C45" s="69"/>
      <c r="D45" s="69"/>
      <c r="E45" s="69"/>
      <c r="F45" s="69"/>
      <c r="G45" s="70"/>
      <c r="I45" s="48"/>
      <c r="J45" s="48"/>
      <c r="K45" s="48"/>
      <c r="L45" s="48"/>
    </row>
  </sheetData>
  <mergeCells count="52">
    <mergeCell ref="A29:C29"/>
    <mergeCell ref="D29:G29"/>
    <mergeCell ref="A30:C30"/>
    <mergeCell ref="D30:G30"/>
    <mergeCell ref="A25:C25"/>
    <mergeCell ref="D25:G25"/>
    <mergeCell ref="A26:C26"/>
    <mergeCell ref="D26:G26"/>
    <mergeCell ref="A27:C27"/>
    <mergeCell ref="D27:G27"/>
    <mergeCell ref="A1:G3"/>
    <mergeCell ref="F4:G4"/>
    <mergeCell ref="B7:C7"/>
    <mergeCell ref="F7:G7"/>
    <mergeCell ref="A8:A18"/>
    <mergeCell ref="B8:C8"/>
    <mergeCell ref="F8:G8"/>
    <mergeCell ref="B9:C9"/>
    <mergeCell ref="F9:G9"/>
    <mergeCell ref="B10:C10"/>
    <mergeCell ref="B11:C11"/>
    <mergeCell ref="F11:G11"/>
    <mergeCell ref="F18:G18"/>
    <mergeCell ref="B12:C12"/>
    <mergeCell ref="F12:G12"/>
    <mergeCell ref="F10:G10"/>
    <mergeCell ref="A31:G31"/>
    <mergeCell ref="B32:F32"/>
    <mergeCell ref="B18:C18"/>
    <mergeCell ref="A21:C21"/>
    <mergeCell ref="E21:G21"/>
    <mergeCell ref="F20:G20"/>
    <mergeCell ref="F19:G19"/>
    <mergeCell ref="A22:A24"/>
    <mergeCell ref="B22:C22"/>
    <mergeCell ref="E22:G22"/>
    <mergeCell ref="B23:C23"/>
    <mergeCell ref="E23:G23"/>
    <mergeCell ref="B24:C24"/>
    <mergeCell ref="E24:G24"/>
    <mergeCell ref="A28:C28"/>
    <mergeCell ref="D28:G28"/>
    <mergeCell ref="B13:C13"/>
    <mergeCell ref="B14:C14"/>
    <mergeCell ref="B15:C15"/>
    <mergeCell ref="B16:C16"/>
    <mergeCell ref="B17:C17"/>
    <mergeCell ref="F17:G17"/>
    <mergeCell ref="F16:G16"/>
    <mergeCell ref="F15:G15"/>
    <mergeCell ref="F14:G14"/>
    <mergeCell ref="F13:G13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44"/>
  <sheetViews>
    <sheetView view="pageBreakPreview" topLeftCell="A7" zoomScaleNormal="100" zoomScaleSheetLayoutView="100" workbookViewId="0">
      <selection activeCell="C19" sqref="C19"/>
    </sheetView>
  </sheetViews>
  <sheetFormatPr defaultColWidth="8.88671875" defaultRowHeight="13.5"/>
  <cols>
    <col min="1" max="1" width="8.88671875" style="1"/>
    <col min="2" max="2" width="29.21875" style="1" customWidth="1"/>
    <col min="3" max="3" width="14.5546875" style="1" customWidth="1"/>
    <col min="4" max="4" width="11.6640625" style="1" bestFit="1" customWidth="1"/>
    <col min="5" max="5" width="10.77734375" style="1" customWidth="1"/>
    <col min="6" max="6" width="8.109375" style="1" customWidth="1"/>
    <col min="7" max="7" width="10.5546875" style="1" customWidth="1"/>
    <col min="8" max="8" width="5.6640625" style="1" customWidth="1"/>
    <col min="9" max="9" width="21.6640625" style="3" bestFit="1" customWidth="1"/>
    <col min="10" max="10" width="19.44140625" style="3" bestFit="1" customWidth="1"/>
    <col min="11" max="11" width="20" style="3" bestFit="1" customWidth="1"/>
    <col min="12" max="12" width="19.44140625" style="3" bestFit="1" customWidth="1"/>
    <col min="13" max="16384" width="8.88671875" style="1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36"/>
      <c r="B4" s="37"/>
      <c r="C4" s="33"/>
      <c r="D4" s="29"/>
      <c r="E4" s="30"/>
      <c r="F4" s="103"/>
      <c r="G4" s="104"/>
    </row>
    <row r="5" spans="1:12" ht="27" customHeight="1">
      <c r="A5" s="36"/>
      <c r="B5" s="37"/>
      <c r="C5" s="39" t="s">
        <v>16</v>
      </c>
      <c r="D5" s="40">
        <f ca="1">TODAY()</f>
        <v>46031</v>
      </c>
      <c r="E5" s="84" t="s">
        <v>18</v>
      </c>
      <c r="F5" s="75" t="s">
        <v>129</v>
      </c>
      <c r="G5" s="78"/>
    </row>
    <row r="6" spans="1:12" ht="19.5" customHeight="1">
      <c r="A6" s="31" t="s">
        <v>47</v>
      </c>
      <c r="B6" s="32"/>
      <c r="C6" s="33"/>
      <c r="D6" s="34"/>
      <c r="E6" s="82" t="s">
        <v>17</v>
      </c>
      <c r="F6" s="75" t="s">
        <v>132</v>
      </c>
      <c r="G6" s="81"/>
    </row>
    <row r="7" spans="1:12" ht="19.5" customHeight="1">
      <c r="A7" s="5" t="s">
        <v>8</v>
      </c>
      <c r="B7" s="105" t="s">
        <v>1</v>
      </c>
      <c r="C7" s="106"/>
      <c r="D7" s="2" t="s">
        <v>2</v>
      </c>
      <c r="E7" s="2" t="s">
        <v>25</v>
      </c>
      <c r="F7" s="105" t="s">
        <v>7</v>
      </c>
      <c r="G7" s="107"/>
      <c r="I7" s="6"/>
      <c r="J7" s="7"/>
      <c r="K7" s="8"/>
      <c r="L7" s="8"/>
    </row>
    <row r="8" spans="1:12" ht="19.5" customHeight="1">
      <c r="A8" s="120" t="s">
        <v>71</v>
      </c>
      <c r="B8" s="109" t="s">
        <v>79</v>
      </c>
      <c r="C8" s="110"/>
      <c r="D8" s="44">
        <v>1</v>
      </c>
      <c r="E8" s="28" t="s">
        <v>21</v>
      </c>
      <c r="F8" s="111">
        <v>500000</v>
      </c>
      <c r="G8" s="112"/>
      <c r="I8" s="6"/>
      <c r="J8" s="7"/>
      <c r="K8" s="8"/>
      <c r="L8" s="8"/>
    </row>
    <row r="9" spans="1:12" ht="19.5" customHeight="1">
      <c r="A9" s="108"/>
      <c r="B9" s="109" t="s">
        <v>92</v>
      </c>
      <c r="C9" s="110"/>
      <c r="D9" s="44">
        <v>1</v>
      </c>
      <c r="E9" s="28" t="s">
        <v>21</v>
      </c>
      <c r="F9" s="111">
        <v>500000</v>
      </c>
      <c r="G9" s="112"/>
      <c r="I9" s="6"/>
      <c r="J9" s="7"/>
      <c r="K9" s="8"/>
      <c r="L9" s="8"/>
    </row>
    <row r="10" spans="1:12" ht="19.5" customHeight="1">
      <c r="A10" s="108"/>
      <c r="B10" s="109" t="s">
        <v>14</v>
      </c>
      <c r="C10" s="110"/>
      <c r="D10" s="44">
        <v>1</v>
      </c>
      <c r="E10" s="28" t="s">
        <v>21</v>
      </c>
      <c r="F10" s="111">
        <v>500000</v>
      </c>
      <c r="G10" s="112"/>
      <c r="I10" s="9"/>
      <c r="J10" s="1"/>
      <c r="K10" s="1"/>
      <c r="L10" s="1"/>
    </row>
    <row r="11" spans="1:12" ht="19.5" customHeight="1">
      <c r="A11" s="108"/>
      <c r="B11" s="151" t="s">
        <v>15</v>
      </c>
      <c r="C11" s="152"/>
      <c r="D11" s="44">
        <v>1</v>
      </c>
      <c r="E11" s="28" t="s">
        <v>21</v>
      </c>
      <c r="F11" s="111">
        <v>500000</v>
      </c>
      <c r="G11" s="112"/>
      <c r="I11" s="1"/>
      <c r="J11" s="1"/>
      <c r="K11" s="1"/>
      <c r="L11" s="1"/>
    </row>
    <row r="12" spans="1:12" ht="19.5" customHeight="1">
      <c r="A12" s="108"/>
      <c r="B12" s="151" t="s">
        <v>93</v>
      </c>
      <c r="C12" s="152"/>
      <c r="D12" s="44">
        <v>1</v>
      </c>
      <c r="E12" s="28" t="s">
        <v>21</v>
      </c>
      <c r="F12" s="111">
        <v>500000</v>
      </c>
      <c r="G12" s="112"/>
      <c r="I12" s="1"/>
      <c r="J12" s="1"/>
      <c r="K12" s="1"/>
      <c r="L12" s="1"/>
    </row>
    <row r="13" spans="1:12" ht="19.5" customHeight="1">
      <c r="A13" s="108"/>
      <c r="B13" s="153" t="s">
        <v>70</v>
      </c>
      <c r="C13" s="154"/>
      <c r="D13" s="44">
        <v>1</v>
      </c>
      <c r="E13" s="28" t="s">
        <v>99</v>
      </c>
      <c r="F13" s="111">
        <v>900000</v>
      </c>
      <c r="G13" s="112"/>
      <c r="I13" s="6"/>
      <c r="J13" s="7"/>
      <c r="K13" s="8"/>
      <c r="L13" s="8"/>
    </row>
    <row r="14" spans="1:12" ht="19.5" customHeight="1">
      <c r="A14" s="108"/>
      <c r="B14" s="153" t="s">
        <v>67</v>
      </c>
      <c r="C14" s="154"/>
      <c r="D14" s="44">
        <v>1</v>
      </c>
      <c r="E14" s="71" t="s">
        <v>99</v>
      </c>
      <c r="F14" s="111">
        <v>900000</v>
      </c>
      <c r="G14" s="112"/>
      <c r="I14" s="6"/>
      <c r="J14" s="7"/>
      <c r="K14" s="8"/>
      <c r="L14" s="8"/>
    </row>
    <row r="15" spans="1:12" ht="19.5" customHeight="1">
      <c r="A15" s="108"/>
      <c r="B15" s="153" t="s">
        <v>68</v>
      </c>
      <c r="C15" s="154"/>
      <c r="D15" s="44">
        <v>1</v>
      </c>
      <c r="E15" s="71" t="s">
        <v>99</v>
      </c>
      <c r="F15" s="111">
        <v>900000</v>
      </c>
      <c r="G15" s="112"/>
      <c r="I15" s="6"/>
      <c r="J15" s="7"/>
      <c r="K15" s="8"/>
      <c r="L15" s="8"/>
    </row>
    <row r="16" spans="1:12" ht="19.5" customHeight="1">
      <c r="A16" s="108"/>
      <c r="B16" s="153" t="s">
        <v>69</v>
      </c>
      <c r="C16" s="154"/>
      <c r="D16" s="44">
        <v>1</v>
      </c>
      <c r="E16" s="71" t="s">
        <v>99</v>
      </c>
      <c r="F16" s="111">
        <v>900000</v>
      </c>
      <c r="G16" s="112"/>
      <c r="I16" s="6"/>
      <c r="J16" s="7"/>
      <c r="K16" s="8"/>
      <c r="L16" s="8"/>
    </row>
    <row r="17" spans="1:12" s="46" customFormat="1" ht="19.5" customHeight="1">
      <c r="A17" s="108"/>
      <c r="B17" s="153" t="s">
        <v>98</v>
      </c>
      <c r="C17" s="154"/>
      <c r="D17" s="44">
        <v>1</v>
      </c>
      <c r="E17" s="71" t="s">
        <v>99</v>
      </c>
      <c r="F17" s="111">
        <v>900000</v>
      </c>
      <c r="G17" s="112"/>
      <c r="I17" s="6"/>
      <c r="J17" s="7"/>
      <c r="K17" s="51"/>
      <c r="L17" s="51"/>
    </row>
    <row r="18" spans="1:12" ht="19.5" customHeight="1">
      <c r="A18" s="108"/>
      <c r="B18" s="153" t="s">
        <v>107</v>
      </c>
      <c r="C18" s="154"/>
      <c r="D18" s="44">
        <v>1</v>
      </c>
      <c r="E18" s="28" t="s">
        <v>80</v>
      </c>
      <c r="F18" s="111">
        <v>900000</v>
      </c>
      <c r="G18" s="112"/>
      <c r="I18" s="6"/>
      <c r="J18" s="7"/>
      <c r="K18" s="8"/>
      <c r="L18" s="8"/>
    </row>
    <row r="19" spans="1:12" ht="33.6" customHeight="1">
      <c r="A19" s="93" t="s">
        <v>85</v>
      </c>
      <c r="B19" s="94" t="s">
        <v>84</v>
      </c>
      <c r="C19" s="95">
        <v>0</v>
      </c>
      <c r="D19" s="86">
        <f>SUM(D8:D18)</f>
        <v>11</v>
      </c>
      <c r="E19" s="88" t="s">
        <v>9</v>
      </c>
      <c r="F19" s="150">
        <f>SUM(F8:G18)</f>
        <v>7900000</v>
      </c>
      <c r="G19" s="116"/>
      <c r="I19" s="1"/>
      <c r="J19" s="1"/>
      <c r="K19" s="1"/>
      <c r="L19" s="1"/>
    </row>
    <row r="20" spans="1:12" ht="19.5" customHeight="1">
      <c r="A20" s="49" t="s">
        <v>52</v>
      </c>
      <c r="B20" s="90"/>
      <c r="C20" s="91"/>
      <c r="D20" s="56"/>
      <c r="E20" s="56"/>
      <c r="F20" s="119"/>
      <c r="G20" s="122"/>
      <c r="I20" s="1"/>
      <c r="J20" s="1"/>
      <c r="K20" s="1"/>
      <c r="L20" s="1"/>
    </row>
    <row r="21" spans="1:12" ht="19.5" customHeight="1">
      <c r="A21" s="113" t="s">
        <v>3</v>
      </c>
      <c r="B21" s="114"/>
      <c r="C21" s="106"/>
      <c r="D21" s="47" t="s">
        <v>4</v>
      </c>
      <c r="E21" s="123" t="s">
        <v>5</v>
      </c>
      <c r="F21" s="124"/>
      <c r="G21" s="125"/>
    </row>
    <row r="22" spans="1:12" ht="19.5" customHeight="1">
      <c r="A22" s="120" t="s">
        <v>20</v>
      </c>
      <c r="B22" s="138" t="s">
        <v>100</v>
      </c>
      <c r="C22" s="139"/>
      <c r="D22" s="85">
        <v>0.2</v>
      </c>
      <c r="E22" s="126">
        <f>F19*D22</f>
        <v>1580000</v>
      </c>
      <c r="F22" s="126"/>
      <c r="G22" s="127"/>
    </row>
    <row r="23" spans="1:12" ht="19.5" customHeight="1">
      <c r="A23" s="108"/>
      <c r="B23" s="138" t="s">
        <v>35</v>
      </c>
      <c r="C23" s="140"/>
      <c r="D23" s="53">
        <v>0.2</v>
      </c>
      <c r="E23" s="128">
        <f>(F19*(1-D22)*D23)</f>
        <v>1264000</v>
      </c>
      <c r="F23" s="126"/>
      <c r="G23" s="127"/>
    </row>
    <row r="24" spans="1:12" ht="19.5" customHeight="1">
      <c r="A24" s="121"/>
      <c r="B24" s="138" t="s">
        <v>34</v>
      </c>
      <c r="C24" s="140"/>
      <c r="D24" s="45">
        <v>0.2</v>
      </c>
      <c r="E24" s="126">
        <f>(F19*(1-D22)*(1-D23)*D24)</f>
        <v>1011200</v>
      </c>
      <c r="F24" s="126"/>
      <c r="G24" s="127"/>
      <c r="H24" s="3"/>
      <c r="I24" s="6"/>
      <c r="J24" s="7"/>
      <c r="K24" s="8"/>
      <c r="L24" s="8"/>
    </row>
    <row r="25" spans="1:12" ht="19.5" customHeight="1">
      <c r="A25" s="141" t="s">
        <v>46</v>
      </c>
      <c r="B25" s="142"/>
      <c r="C25" s="143"/>
      <c r="D25" s="144">
        <f>ROUNDUP(SUM(E22:G24),-3)</f>
        <v>3856000</v>
      </c>
      <c r="E25" s="145"/>
      <c r="F25" s="145"/>
      <c r="G25" s="146"/>
      <c r="H25" s="3"/>
      <c r="I25" s="6"/>
      <c r="J25" s="7"/>
      <c r="K25" s="8"/>
      <c r="L25" s="8"/>
    </row>
    <row r="26" spans="1:12" ht="23.25" customHeight="1">
      <c r="A26" s="129" t="s">
        <v>51</v>
      </c>
      <c r="B26" s="130"/>
      <c r="C26" s="131"/>
      <c r="D26" s="132">
        <f>F19-D25</f>
        <v>4044000</v>
      </c>
      <c r="E26" s="133"/>
      <c r="F26" s="133"/>
      <c r="G26" s="134"/>
      <c r="H26" s="3"/>
      <c r="I26" s="1"/>
      <c r="J26" s="1"/>
      <c r="K26" s="1"/>
      <c r="L26" s="1"/>
    </row>
    <row r="27" spans="1:12" s="46" customFormat="1" ht="23.25" customHeight="1">
      <c r="A27" s="129" t="s">
        <v>83</v>
      </c>
      <c r="B27" s="130"/>
      <c r="C27" s="131"/>
      <c r="D27" s="132">
        <f>SUM(D26+C19)</f>
        <v>4044000</v>
      </c>
      <c r="E27" s="133"/>
      <c r="F27" s="133"/>
      <c r="G27" s="134"/>
      <c r="H27" s="48"/>
    </row>
    <row r="28" spans="1:12" s="46" customFormat="1" ht="23.25" customHeight="1">
      <c r="A28" s="129" t="s">
        <v>88</v>
      </c>
      <c r="B28" s="130"/>
      <c r="C28" s="131"/>
      <c r="D28" s="147">
        <f>SUM(D27/3)</f>
        <v>1348000</v>
      </c>
      <c r="E28" s="148"/>
      <c r="F28" s="148"/>
      <c r="G28" s="149"/>
      <c r="H28" s="48"/>
    </row>
    <row r="29" spans="1:12" s="46" customFormat="1" ht="23.25" customHeight="1">
      <c r="A29" s="129" t="s">
        <v>89</v>
      </c>
      <c r="B29" s="130"/>
      <c r="C29" s="131"/>
      <c r="D29" s="147">
        <f>SUM(D27/6)</f>
        <v>674000</v>
      </c>
      <c r="E29" s="148"/>
      <c r="F29" s="148"/>
      <c r="G29" s="149"/>
      <c r="H29" s="48"/>
    </row>
    <row r="30" spans="1:12" s="46" customFormat="1" ht="23.25" customHeight="1">
      <c r="A30" s="129" t="s">
        <v>90</v>
      </c>
      <c r="B30" s="130"/>
      <c r="C30" s="131"/>
      <c r="D30" s="147">
        <f>SUM(D26/D19)</f>
        <v>367636.36363636365</v>
      </c>
      <c r="E30" s="148"/>
      <c r="F30" s="148"/>
      <c r="G30" s="149"/>
      <c r="H30" s="48"/>
    </row>
    <row r="31" spans="1:12" s="46" customFormat="1" ht="23.25" customHeight="1">
      <c r="A31" s="135" t="s">
        <v>91</v>
      </c>
      <c r="B31" s="136"/>
      <c r="C31" s="136"/>
      <c r="D31" s="136"/>
      <c r="E31" s="136"/>
      <c r="F31" s="136"/>
      <c r="G31" s="137"/>
      <c r="H31" s="48"/>
    </row>
    <row r="32" spans="1:12" s="46" customFormat="1" ht="16.5" customHeight="1">
      <c r="A32" s="55"/>
      <c r="B32" s="119"/>
      <c r="C32" s="119"/>
      <c r="D32" s="119"/>
      <c r="E32" s="119"/>
      <c r="F32" s="119"/>
      <c r="G32" s="54"/>
      <c r="I32" s="52"/>
    </row>
    <row r="33" spans="1:12" s="46" customFormat="1" ht="16.5" customHeight="1">
      <c r="A33" s="64" t="s">
        <v>6</v>
      </c>
      <c r="B33" s="92"/>
      <c r="C33" s="92"/>
      <c r="D33" s="92"/>
      <c r="E33" s="92"/>
      <c r="F33" s="92"/>
      <c r="G33" s="54"/>
      <c r="I33" s="52"/>
    </row>
    <row r="34" spans="1:12" s="46" customFormat="1" ht="16.5" customHeight="1">
      <c r="A34" s="55" t="s">
        <v>0</v>
      </c>
      <c r="B34" s="92"/>
      <c r="C34" s="92"/>
      <c r="D34" s="92"/>
      <c r="E34" s="92"/>
      <c r="F34" s="92"/>
      <c r="G34" s="54"/>
    </row>
    <row r="35" spans="1:12" s="46" customFormat="1" ht="16.5" customHeight="1">
      <c r="A35" s="55" t="s">
        <v>54</v>
      </c>
      <c r="B35" s="92"/>
      <c r="C35" s="92"/>
      <c r="D35" s="92"/>
      <c r="E35" s="92"/>
      <c r="F35" s="92"/>
      <c r="G35" s="54"/>
    </row>
    <row r="36" spans="1:12" s="46" customFormat="1" ht="16.5" customHeight="1">
      <c r="A36" s="55" t="s">
        <v>56</v>
      </c>
      <c r="B36" s="56"/>
      <c r="C36" s="56"/>
      <c r="D36" s="57"/>
      <c r="E36" s="57"/>
      <c r="F36" s="58"/>
      <c r="G36" s="59"/>
      <c r="I36" s="48"/>
      <c r="J36" s="48"/>
      <c r="K36" s="48"/>
      <c r="L36" s="48"/>
    </row>
    <row r="37" spans="1:12" s="46" customFormat="1" ht="16.5" customHeight="1">
      <c r="A37" s="55"/>
      <c r="B37" s="56"/>
      <c r="C37" s="56"/>
      <c r="D37" s="57"/>
      <c r="E37" s="57"/>
      <c r="F37" s="58"/>
      <c r="G37" s="59"/>
      <c r="I37" s="48"/>
      <c r="J37" s="48"/>
      <c r="K37" s="48"/>
      <c r="L37" s="48"/>
    </row>
    <row r="38" spans="1:12" s="46" customFormat="1" ht="16.5" customHeight="1">
      <c r="A38" s="64" t="s">
        <v>57</v>
      </c>
      <c r="B38" s="60"/>
      <c r="C38" s="60"/>
      <c r="D38" s="61"/>
      <c r="E38" s="61"/>
      <c r="F38" s="61"/>
      <c r="G38" s="62"/>
      <c r="I38" s="48"/>
      <c r="J38" s="48"/>
      <c r="K38" s="48"/>
      <c r="L38" s="48"/>
    </row>
    <row r="39" spans="1:12" s="46" customFormat="1" ht="16.5" customHeight="1">
      <c r="A39" s="55" t="s">
        <v>10</v>
      </c>
      <c r="B39" s="63"/>
      <c r="C39" s="63"/>
      <c r="D39" s="61"/>
      <c r="E39" s="61"/>
      <c r="F39" s="61"/>
      <c r="G39" s="62"/>
      <c r="I39" s="48"/>
      <c r="J39" s="48"/>
      <c r="K39" s="48"/>
      <c r="L39" s="48"/>
    </row>
    <row r="40" spans="1:12" s="46" customFormat="1" ht="16.5" customHeight="1">
      <c r="A40" s="55" t="s">
        <v>11</v>
      </c>
      <c r="B40" s="63"/>
      <c r="C40" s="63"/>
      <c r="D40" s="61"/>
      <c r="E40" s="61"/>
      <c r="F40" s="61"/>
      <c r="G40" s="62"/>
      <c r="I40" s="48"/>
      <c r="J40" s="48"/>
      <c r="K40" s="48"/>
      <c r="L40" s="48"/>
    </row>
    <row r="41" spans="1:12" s="46" customFormat="1" ht="16.5" customHeight="1">
      <c r="A41" s="64" t="s">
        <v>33</v>
      </c>
      <c r="B41" s="65"/>
      <c r="C41" s="65"/>
      <c r="D41" s="61"/>
      <c r="E41" s="61"/>
      <c r="F41" s="61"/>
      <c r="G41" s="62"/>
      <c r="I41" s="48"/>
      <c r="J41" s="48"/>
      <c r="K41" s="48"/>
      <c r="L41" s="48"/>
    </row>
    <row r="42" spans="1:12" s="46" customFormat="1" ht="16.5" customHeight="1">
      <c r="A42" s="55" t="s">
        <v>12</v>
      </c>
      <c r="B42" s="66"/>
      <c r="C42" s="66"/>
      <c r="D42" s="61"/>
      <c r="E42" s="61"/>
      <c r="F42" s="61"/>
      <c r="G42" s="62"/>
      <c r="I42" s="48"/>
      <c r="J42" s="48"/>
      <c r="K42" s="48"/>
      <c r="L42" s="48"/>
    </row>
    <row r="43" spans="1:12" s="46" customFormat="1" ht="16.5" customHeight="1">
      <c r="A43" s="55" t="s">
        <v>55</v>
      </c>
      <c r="B43" s="66"/>
      <c r="C43" s="66"/>
      <c r="D43" s="61"/>
      <c r="E43" s="61"/>
      <c r="F43" s="61"/>
      <c r="G43" s="62"/>
      <c r="I43" s="48"/>
      <c r="J43" s="48"/>
      <c r="K43" s="48"/>
      <c r="L43" s="48"/>
    </row>
    <row r="44" spans="1:12" s="46" customFormat="1">
      <c r="A44" s="55" t="s">
        <v>13</v>
      </c>
      <c r="B44" s="67"/>
      <c r="C44" s="67"/>
      <c r="D44" s="61"/>
      <c r="E44" s="61"/>
      <c r="F44" s="61"/>
      <c r="G44" s="62"/>
      <c r="I44" s="48"/>
      <c r="J44" s="48"/>
      <c r="K44" s="48"/>
      <c r="L44" s="48"/>
    </row>
  </sheetData>
  <mergeCells count="52">
    <mergeCell ref="A27:C27"/>
    <mergeCell ref="D27:G27"/>
    <mergeCell ref="B18:C18"/>
    <mergeCell ref="F18:G18"/>
    <mergeCell ref="A21:C21"/>
    <mergeCell ref="E21:G21"/>
    <mergeCell ref="B22:C22"/>
    <mergeCell ref="E22:G22"/>
    <mergeCell ref="F20:G20"/>
    <mergeCell ref="B23:C23"/>
    <mergeCell ref="E23:G23"/>
    <mergeCell ref="B24:C24"/>
    <mergeCell ref="D26:G26"/>
    <mergeCell ref="A25:C25"/>
    <mergeCell ref="D25:G25"/>
    <mergeCell ref="A26:C26"/>
    <mergeCell ref="B17:C17"/>
    <mergeCell ref="F17:G17"/>
    <mergeCell ref="A22:A24"/>
    <mergeCell ref="F19:G19"/>
    <mergeCell ref="B10:C10"/>
    <mergeCell ref="F10:G10"/>
    <mergeCell ref="E24:G24"/>
    <mergeCell ref="F12:G12"/>
    <mergeCell ref="B13:C13"/>
    <mergeCell ref="B14:C14"/>
    <mergeCell ref="B15:C15"/>
    <mergeCell ref="B16:C16"/>
    <mergeCell ref="A1:G3"/>
    <mergeCell ref="F4:G4"/>
    <mergeCell ref="B7:C7"/>
    <mergeCell ref="F7:G7"/>
    <mergeCell ref="A8:A18"/>
    <mergeCell ref="B8:C8"/>
    <mergeCell ref="F8:G8"/>
    <mergeCell ref="B9:C9"/>
    <mergeCell ref="F9:G9"/>
    <mergeCell ref="F15:G15"/>
    <mergeCell ref="F16:G16"/>
    <mergeCell ref="F13:G13"/>
    <mergeCell ref="F14:G14"/>
    <mergeCell ref="B11:C11"/>
    <mergeCell ref="F11:G11"/>
    <mergeCell ref="B12:C12"/>
    <mergeCell ref="A31:G31"/>
    <mergeCell ref="B32:F32"/>
    <mergeCell ref="D28:G28"/>
    <mergeCell ref="A29:C29"/>
    <mergeCell ref="D29:G29"/>
    <mergeCell ref="A30:C30"/>
    <mergeCell ref="D30:G30"/>
    <mergeCell ref="A28:C28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L44"/>
  <sheetViews>
    <sheetView view="pageBreakPreview" zoomScaleNormal="100" zoomScaleSheetLayoutView="100" workbookViewId="0">
      <selection activeCell="B8" sqref="B8:G18"/>
    </sheetView>
  </sheetViews>
  <sheetFormatPr defaultColWidth="8.88671875" defaultRowHeight="13.5"/>
  <cols>
    <col min="1" max="1" width="8.88671875" style="1"/>
    <col min="2" max="2" width="29.21875" style="1" customWidth="1"/>
    <col min="3" max="3" width="14.5546875" style="1" customWidth="1"/>
    <col min="4" max="4" width="11.6640625" style="1" bestFit="1" customWidth="1"/>
    <col min="5" max="5" width="10.77734375" style="1" customWidth="1"/>
    <col min="6" max="6" width="8.109375" style="1" customWidth="1"/>
    <col min="7" max="7" width="10.5546875" style="1" customWidth="1"/>
    <col min="8" max="8" width="5.6640625" style="1" customWidth="1"/>
    <col min="9" max="9" width="21.6640625" style="3" bestFit="1" customWidth="1"/>
    <col min="10" max="10" width="19.44140625" style="3" bestFit="1" customWidth="1"/>
    <col min="11" max="11" width="20" style="3" bestFit="1" customWidth="1"/>
    <col min="12" max="12" width="19.44140625" style="3" bestFit="1" customWidth="1"/>
    <col min="13" max="16384" width="8.88671875" style="1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36"/>
      <c r="B4" s="37"/>
      <c r="C4" s="33"/>
      <c r="D4" s="29"/>
      <c r="E4" s="30"/>
      <c r="F4" s="103"/>
      <c r="G4" s="104"/>
    </row>
    <row r="5" spans="1:12" ht="27" customHeight="1">
      <c r="A5" s="36"/>
      <c r="B5" s="37"/>
      <c r="C5" s="39" t="s">
        <v>16</v>
      </c>
      <c r="D5" s="40">
        <f ca="1">TODAY()</f>
        <v>46031</v>
      </c>
      <c r="E5" s="84" t="s">
        <v>18</v>
      </c>
      <c r="F5" s="75" t="s">
        <v>86</v>
      </c>
      <c r="G5" s="78"/>
    </row>
    <row r="6" spans="1:12" ht="19.5" customHeight="1">
      <c r="A6" s="31" t="s">
        <v>47</v>
      </c>
      <c r="B6" s="32"/>
      <c r="C6" s="33"/>
      <c r="D6" s="34"/>
      <c r="E6" s="82" t="s">
        <v>17</v>
      </c>
      <c r="F6" s="75" t="s">
        <v>87</v>
      </c>
      <c r="G6" s="81"/>
    </row>
    <row r="7" spans="1:12" ht="19.5" customHeight="1">
      <c r="A7" s="5" t="s">
        <v>8</v>
      </c>
      <c r="B7" s="105" t="s">
        <v>1</v>
      </c>
      <c r="C7" s="106"/>
      <c r="D7" s="2" t="s">
        <v>2</v>
      </c>
      <c r="E7" s="2" t="s">
        <v>25</v>
      </c>
      <c r="F7" s="105" t="s">
        <v>7</v>
      </c>
      <c r="G7" s="107"/>
      <c r="I7" s="6"/>
      <c r="J7" s="7"/>
      <c r="K7" s="8"/>
      <c r="L7" s="8"/>
    </row>
    <row r="8" spans="1:12" ht="19.5" customHeight="1">
      <c r="A8" s="120" t="s">
        <v>49</v>
      </c>
      <c r="B8" s="109" t="s">
        <v>37</v>
      </c>
      <c r="C8" s="110"/>
      <c r="D8" s="44">
        <v>1</v>
      </c>
      <c r="E8" s="28" t="s">
        <v>21</v>
      </c>
      <c r="F8" s="111">
        <v>400000</v>
      </c>
      <c r="G8" s="112"/>
      <c r="I8" s="6"/>
      <c r="J8" s="7"/>
      <c r="K8" s="8"/>
      <c r="L8" s="8"/>
    </row>
    <row r="9" spans="1:12" ht="19.5" customHeight="1">
      <c r="A9" s="108"/>
      <c r="B9" s="109" t="s">
        <v>38</v>
      </c>
      <c r="C9" s="110"/>
      <c r="D9" s="44">
        <v>1</v>
      </c>
      <c r="E9" s="28" t="s">
        <v>21</v>
      </c>
      <c r="F9" s="111">
        <v>400000</v>
      </c>
      <c r="G9" s="112"/>
      <c r="I9" s="6"/>
      <c r="J9" s="7"/>
      <c r="K9" s="8"/>
      <c r="L9" s="8"/>
    </row>
    <row r="10" spans="1:12" s="46" customFormat="1" ht="19.5" customHeight="1">
      <c r="A10" s="108"/>
      <c r="B10" s="151" t="s">
        <v>101</v>
      </c>
      <c r="C10" s="152"/>
      <c r="D10" s="44">
        <v>1</v>
      </c>
      <c r="E10" s="71" t="s">
        <v>112</v>
      </c>
      <c r="F10" s="111">
        <v>500000</v>
      </c>
      <c r="G10" s="112"/>
      <c r="I10" s="6"/>
      <c r="J10" s="7"/>
      <c r="K10" s="51"/>
      <c r="L10" s="51"/>
    </row>
    <row r="11" spans="1:12" s="46" customFormat="1" ht="19.5" customHeight="1">
      <c r="A11" s="108"/>
      <c r="B11" s="151" t="s">
        <v>102</v>
      </c>
      <c r="C11" s="152"/>
      <c r="D11" s="44">
        <v>1</v>
      </c>
      <c r="E11" s="71" t="s">
        <v>113</v>
      </c>
      <c r="F11" s="111">
        <v>500000</v>
      </c>
      <c r="G11" s="112"/>
      <c r="I11" s="6"/>
      <c r="J11" s="7"/>
      <c r="K11" s="51"/>
      <c r="L11" s="51"/>
    </row>
    <row r="12" spans="1:12" s="46" customFormat="1" ht="19.5" customHeight="1">
      <c r="A12" s="108"/>
      <c r="B12" s="151" t="s">
        <v>103</v>
      </c>
      <c r="C12" s="152"/>
      <c r="D12" s="44">
        <v>1</v>
      </c>
      <c r="E12" s="71" t="s">
        <v>21</v>
      </c>
      <c r="F12" s="111">
        <v>500000</v>
      </c>
      <c r="G12" s="112"/>
      <c r="I12" s="6"/>
      <c r="J12" s="7"/>
      <c r="K12" s="51"/>
      <c r="L12" s="51"/>
    </row>
    <row r="13" spans="1:12" s="46" customFormat="1" ht="19.5" customHeight="1">
      <c r="A13" s="108"/>
      <c r="B13" s="151" t="s">
        <v>104</v>
      </c>
      <c r="C13" s="152"/>
      <c r="D13" s="44">
        <v>1</v>
      </c>
      <c r="E13" s="71" t="s">
        <v>114</v>
      </c>
      <c r="F13" s="111">
        <v>500000</v>
      </c>
      <c r="G13" s="112"/>
      <c r="I13" s="6"/>
      <c r="J13" s="7"/>
      <c r="K13" s="51"/>
      <c r="L13" s="51"/>
    </row>
    <row r="14" spans="1:12" s="46" customFormat="1" ht="19.5" customHeight="1">
      <c r="A14" s="108"/>
      <c r="B14" s="151" t="s">
        <v>105</v>
      </c>
      <c r="C14" s="152"/>
      <c r="D14" s="44">
        <v>1</v>
      </c>
      <c r="E14" s="71" t="s">
        <v>115</v>
      </c>
      <c r="F14" s="111">
        <v>500000</v>
      </c>
      <c r="G14" s="112"/>
      <c r="I14" s="6"/>
      <c r="J14" s="7"/>
      <c r="K14" s="51"/>
      <c r="L14" s="51"/>
    </row>
    <row r="15" spans="1:12" ht="19.5" customHeight="1">
      <c r="A15" s="108"/>
      <c r="B15" s="109" t="s">
        <v>109</v>
      </c>
      <c r="C15" s="110"/>
      <c r="D15" s="44">
        <v>1</v>
      </c>
      <c r="E15" s="28" t="s">
        <v>32</v>
      </c>
      <c r="F15" s="111">
        <v>600000</v>
      </c>
      <c r="G15" s="112"/>
      <c r="I15" s="6"/>
      <c r="J15" s="7"/>
      <c r="K15" s="8"/>
      <c r="L15" s="8"/>
    </row>
    <row r="16" spans="1:12" ht="19.5" customHeight="1">
      <c r="A16" s="108"/>
      <c r="B16" s="109" t="s">
        <v>111</v>
      </c>
      <c r="C16" s="110"/>
      <c r="D16" s="44">
        <v>1</v>
      </c>
      <c r="E16" s="28" t="s">
        <v>24</v>
      </c>
      <c r="F16" s="111">
        <v>600000</v>
      </c>
      <c r="G16" s="112"/>
      <c r="I16" s="6"/>
      <c r="J16" s="7"/>
      <c r="K16" s="8"/>
      <c r="L16" s="8"/>
    </row>
    <row r="17" spans="1:12" ht="19.5" customHeight="1">
      <c r="A17" s="108"/>
      <c r="B17" s="109" t="s">
        <v>110</v>
      </c>
      <c r="C17" s="110"/>
      <c r="D17" s="44">
        <v>1</v>
      </c>
      <c r="E17" s="28" t="s">
        <v>24</v>
      </c>
      <c r="F17" s="111">
        <v>600000</v>
      </c>
      <c r="G17" s="112"/>
      <c r="I17" s="6"/>
      <c r="J17" s="7"/>
      <c r="K17" s="8"/>
      <c r="L17" s="8"/>
    </row>
    <row r="18" spans="1:12" ht="19.5" customHeight="1">
      <c r="A18" s="108"/>
      <c r="B18" s="109" t="s">
        <v>108</v>
      </c>
      <c r="C18" s="110"/>
      <c r="D18" s="44">
        <v>1</v>
      </c>
      <c r="E18" s="28" t="s">
        <v>24</v>
      </c>
      <c r="F18" s="111">
        <v>600000</v>
      </c>
      <c r="G18" s="112"/>
      <c r="I18" s="1"/>
      <c r="J18" s="1"/>
      <c r="K18" s="1"/>
      <c r="L18" s="1"/>
    </row>
    <row r="19" spans="1:12" ht="33.6" customHeight="1">
      <c r="A19" s="93" t="s">
        <v>85</v>
      </c>
      <c r="B19" s="94" t="s">
        <v>84</v>
      </c>
      <c r="C19" s="95">
        <v>500000</v>
      </c>
      <c r="D19" s="86">
        <f>SUM(D8:D18)</f>
        <v>11</v>
      </c>
      <c r="E19" s="87" t="s">
        <v>9</v>
      </c>
      <c r="F19" s="115">
        <f>SUM(F8:G18)</f>
        <v>5700000</v>
      </c>
      <c r="G19" s="116"/>
      <c r="I19" s="1"/>
      <c r="J19" s="1"/>
      <c r="K19" s="1"/>
      <c r="L19" s="1"/>
    </row>
    <row r="20" spans="1:12" ht="19.5" customHeight="1">
      <c r="A20" s="49" t="s">
        <v>52</v>
      </c>
      <c r="B20" s="90"/>
      <c r="C20" s="91"/>
      <c r="D20" s="56"/>
      <c r="E20" s="56"/>
      <c r="F20" s="119"/>
      <c r="G20" s="122"/>
      <c r="I20" s="1"/>
      <c r="J20" s="1"/>
      <c r="K20" s="1"/>
      <c r="L20" s="1"/>
    </row>
    <row r="21" spans="1:12" ht="19.5" customHeight="1">
      <c r="A21" s="113" t="s">
        <v>3</v>
      </c>
      <c r="B21" s="114"/>
      <c r="C21" s="106"/>
      <c r="D21" s="47" t="s">
        <v>4</v>
      </c>
      <c r="E21" s="123" t="s">
        <v>5</v>
      </c>
      <c r="F21" s="124"/>
      <c r="G21" s="125"/>
    </row>
    <row r="22" spans="1:12" ht="19.5" customHeight="1">
      <c r="A22" s="120" t="s">
        <v>20</v>
      </c>
      <c r="B22" s="138" t="s">
        <v>116</v>
      </c>
      <c r="C22" s="139"/>
      <c r="D22" s="85">
        <v>0.40339999999999998</v>
      </c>
      <c r="E22" s="126">
        <f>F19*D22</f>
        <v>2299380</v>
      </c>
      <c r="F22" s="126"/>
      <c r="G22" s="127"/>
    </row>
    <row r="23" spans="1:12" ht="19.5" customHeight="1">
      <c r="A23" s="108"/>
      <c r="B23" s="138" t="s">
        <v>35</v>
      </c>
      <c r="C23" s="140"/>
      <c r="D23" s="53"/>
      <c r="E23" s="128">
        <f>(F19*(1-D22)*D23)</f>
        <v>0</v>
      </c>
      <c r="F23" s="126"/>
      <c r="G23" s="127"/>
      <c r="H23" s="3"/>
      <c r="I23" s="6"/>
      <c r="J23" s="7"/>
      <c r="K23" s="8"/>
      <c r="L23" s="8"/>
    </row>
    <row r="24" spans="1:12" ht="19.5" customHeight="1">
      <c r="A24" s="121"/>
      <c r="B24" s="138" t="s">
        <v>34</v>
      </c>
      <c r="C24" s="140"/>
      <c r="D24" s="45"/>
      <c r="E24" s="126">
        <f>(F19*(1-D22)*(1-D23)*D24)</f>
        <v>0</v>
      </c>
      <c r="F24" s="126"/>
      <c r="G24" s="127"/>
      <c r="H24" s="3"/>
      <c r="I24" s="6"/>
      <c r="J24" s="7"/>
      <c r="K24" s="8"/>
      <c r="L24" s="8"/>
    </row>
    <row r="25" spans="1:12" ht="23.25" customHeight="1">
      <c r="A25" s="141" t="s">
        <v>46</v>
      </c>
      <c r="B25" s="142"/>
      <c r="C25" s="143"/>
      <c r="D25" s="144">
        <f>ROUNDUP(SUM(E22:G24),-3)</f>
        <v>2300000</v>
      </c>
      <c r="E25" s="145"/>
      <c r="F25" s="145"/>
      <c r="G25" s="146"/>
      <c r="H25" s="3"/>
      <c r="I25" s="1"/>
      <c r="J25" s="1"/>
      <c r="K25" s="1"/>
      <c r="L25" s="1"/>
    </row>
    <row r="26" spans="1:12" ht="23.25" customHeight="1">
      <c r="A26" s="129" t="s">
        <v>51</v>
      </c>
      <c r="B26" s="130"/>
      <c r="C26" s="131"/>
      <c r="D26" s="132">
        <f>F19-D25</f>
        <v>3400000</v>
      </c>
      <c r="E26" s="133"/>
      <c r="F26" s="133"/>
      <c r="G26" s="134"/>
      <c r="H26" s="3"/>
      <c r="I26" s="1"/>
      <c r="J26" s="1"/>
      <c r="K26" s="1"/>
      <c r="L26" s="1"/>
    </row>
    <row r="27" spans="1:12" s="46" customFormat="1" ht="23.25" customHeight="1">
      <c r="A27" s="129" t="s">
        <v>83</v>
      </c>
      <c r="B27" s="130"/>
      <c r="C27" s="131"/>
      <c r="D27" s="132">
        <f>SUM(D26+C19)</f>
        <v>3900000</v>
      </c>
      <c r="E27" s="133"/>
      <c r="F27" s="133"/>
      <c r="G27" s="134"/>
      <c r="H27" s="48"/>
    </row>
    <row r="28" spans="1:12" s="46" customFormat="1" ht="23.25" customHeight="1">
      <c r="A28" s="129" t="s">
        <v>88</v>
      </c>
      <c r="B28" s="130"/>
      <c r="C28" s="131"/>
      <c r="D28" s="147">
        <f>SUM(D27/3)</f>
        <v>1300000</v>
      </c>
      <c r="E28" s="148"/>
      <c r="F28" s="148"/>
      <c r="G28" s="149"/>
      <c r="H28" s="48"/>
    </row>
    <row r="29" spans="1:12" s="46" customFormat="1" ht="23.25" customHeight="1">
      <c r="A29" s="129" t="s">
        <v>89</v>
      </c>
      <c r="B29" s="130"/>
      <c r="C29" s="131"/>
      <c r="D29" s="147">
        <f>SUM(D27/6)</f>
        <v>650000</v>
      </c>
      <c r="E29" s="148"/>
      <c r="F29" s="148"/>
      <c r="G29" s="149"/>
      <c r="H29" s="48"/>
    </row>
    <row r="30" spans="1:12" s="46" customFormat="1" ht="23.25" customHeight="1">
      <c r="A30" s="129" t="s">
        <v>90</v>
      </c>
      <c r="B30" s="130"/>
      <c r="C30" s="131"/>
      <c r="D30" s="147">
        <f>SUM(D26/D19)</f>
        <v>309090.90909090912</v>
      </c>
      <c r="E30" s="148"/>
      <c r="F30" s="148"/>
      <c r="G30" s="149"/>
      <c r="H30" s="48"/>
    </row>
    <row r="31" spans="1:12" s="46" customFormat="1" ht="23.25" customHeight="1">
      <c r="A31" s="135" t="s">
        <v>91</v>
      </c>
      <c r="B31" s="136"/>
      <c r="C31" s="136"/>
      <c r="D31" s="136"/>
      <c r="E31" s="136"/>
      <c r="F31" s="136"/>
      <c r="G31" s="137"/>
      <c r="H31" s="48"/>
    </row>
    <row r="32" spans="1:12" s="46" customFormat="1" ht="16.5" customHeight="1">
      <c r="A32" s="55"/>
      <c r="B32" s="119"/>
      <c r="C32" s="119"/>
      <c r="D32" s="119"/>
      <c r="E32" s="119"/>
      <c r="F32" s="119"/>
      <c r="G32" s="54"/>
      <c r="I32" s="52"/>
    </row>
    <row r="33" spans="1:12" s="46" customFormat="1" ht="16.5" customHeight="1">
      <c r="A33" s="64" t="s">
        <v>6</v>
      </c>
      <c r="B33" s="92"/>
      <c r="C33" s="92"/>
      <c r="D33" s="92"/>
      <c r="E33" s="92"/>
      <c r="F33" s="92"/>
      <c r="G33" s="54"/>
      <c r="I33" s="52"/>
    </row>
    <row r="34" spans="1:12" s="46" customFormat="1" ht="16.5" customHeight="1">
      <c r="A34" s="55" t="s">
        <v>0</v>
      </c>
      <c r="B34" s="92"/>
      <c r="C34" s="92"/>
      <c r="D34" s="92"/>
      <c r="E34" s="92"/>
      <c r="F34" s="92"/>
      <c r="G34" s="54"/>
    </row>
    <row r="35" spans="1:12" s="46" customFormat="1" ht="16.5" customHeight="1">
      <c r="A35" s="55" t="s">
        <v>54</v>
      </c>
      <c r="B35" s="92"/>
      <c r="C35" s="92"/>
      <c r="D35" s="92"/>
      <c r="E35" s="92"/>
      <c r="F35" s="92"/>
      <c r="G35" s="54"/>
    </row>
    <row r="36" spans="1:12" s="46" customFormat="1" ht="16.5" customHeight="1">
      <c r="A36" s="55" t="s">
        <v>56</v>
      </c>
      <c r="B36" s="56"/>
      <c r="C36" s="56"/>
      <c r="D36" s="57"/>
      <c r="E36" s="57"/>
      <c r="F36" s="58"/>
      <c r="G36" s="59"/>
      <c r="I36" s="48"/>
      <c r="J36" s="48"/>
      <c r="K36" s="48"/>
      <c r="L36" s="48"/>
    </row>
    <row r="37" spans="1:12" s="46" customFormat="1" ht="16.5" customHeight="1">
      <c r="A37" s="55"/>
      <c r="B37" s="56"/>
      <c r="C37" s="56"/>
      <c r="D37" s="57"/>
      <c r="E37" s="57"/>
      <c r="F37" s="58"/>
      <c r="G37" s="59"/>
      <c r="I37" s="48"/>
      <c r="J37" s="48"/>
      <c r="K37" s="48"/>
      <c r="L37" s="48"/>
    </row>
    <row r="38" spans="1:12" s="46" customFormat="1" ht="16.5" customHeight="1">
      <c r="A38" s="64" t="s">
        <v>57</v>
      </c>
      <c r="B38" s="60"/>
      <c r="C38" s="60"/>
      <c r="D38" s="61"/>
      <c r="E38" s="61"/>
      <c r="F38" s="61"/>
      <c r="G38" s="62"/>
      <c r="I38" s="48"/>
      <c r="J38" s="48"/>
      <c r="K38" s="48"/>
      <c r="L38" s="48"/>
    </row>
    <row r="39" spans="1:12" s="46" customFormat="1" ht="16.5" customHeight="1">
      <c r="A39" s="55" t="s">
        <v>10</v>
      </c>
      <c r="B39" s="63"/>
      <c r="C39" s="63"/>
      <c r="D39" s="61"/>
      <c r="E39" s="61"/>
      <c r="F39" s="61"/>
      <c r="G39" s="62"/>
      <c r="I39" s="48"/>
      <c r="J39" s="48"/>
      <c r="K39" s="48"/>
      <c r="L39" s="48"/>
    </row>
    <row r="40" spans="1:12" s="46" customFormat="1" ht="16.5" customHeight="1">
      <c r="A40" s="55" t="s">
        <v>11</v>
      </c>
      <c r="B40" s="63"/>
      <c r="C40" s="63"/>
      <c r="D40" s="61"/>
      <c r="E40" s="61"/>
      <c r="F40" s="61"/>
      <c r="G40" s="62"/>
      <c r="I40" s="48"/>
      <c r="J40" s="48"/>
      <c r="K40" s="48"/>
      <c r="L40" s="48"/>
    </row>
    <row r="41" spans="1:12" s="46" customFormat="1" ht="16.5" customHeight="1">
      <c r="A41" s="64" t="s">
        <v>33</v>
      </c>
      <c r="B41" s="65"/>
      <c r="C41" s="65"/>
      <c r="D41" s="61"/>
      <c r="E41" s="61"/>
      <c r="F41" s="61"/>
      <c r="G41" s="62"/>
      <c r="I41" s="48"/>
      <c r="J41" s="48"/>
      <c r="K41" s="48"/>
      <c r="L41" s="48"/>
    </row>
    <row r="42" spans="1:12" s="46" customFormat="1" ht="16.5" customHeight="1">
      <c r="A42" s="55" t="s">
        <v>12</v>
      </c>
      <c r="B42" s="66"/>
      <c r="C42" s="66"/>
      <c r="D42" s="61"/>
      <c r="E42" s="61"/>
      <c r="F42" s="61"/>
      <c r="G42" s="62"/>
      <c r="I42" s="48"/>
      <c r="J42" s="48"/>
      <c r="K42" s="48"/>
      <c r="L42" s="48"/>
    </row>
    <row r="43" spans="1:12" s="46" customFormat="1" ht="16.5" customHeight="1">
      <c r="A43" s="55" t="s">
        <v>55</v>
      </c>
      <c r="B43" s="66"/>
      <c r="C43" s="66"/>
      <c r="D43" s="61"/>
      <c r="E43" s="61"/>
      <c r="F43" s="61"/>
      <c r="G43" s="62"/>
      <c r="I43" s="48"/>
      <c r="J43" s="48"/>
      <c r="K43" s="48"/>
      <c r="L43" s="48"/>
    </row>
    <row r="44" spans="1:12" s="46" customFormat="1">
      <c r="A44" s="55" t="s">
        <v>13</v>
      </c>
      <c r="B44" s="67"/>
      <c r="C44" s="67"/>
      <c r="D44" s="61"/>
      <c r="E44" s="61"/>
      <c r="F44" s="61"/>
      <c r="G44" s="62"/>
      <c r="I44" s="48"/>
      <c r="J44" s="48"/>
      <c r="K44" s="48"/>
      <c r="L44" s="48"/>
    </row>
  </sheetData>
  <mergeCells count="52">
    <mergeCell ref="B15:C15"/>
    <mergeCell ref="F15:G15"/>
    <mergeCell ref="B9:C9"/>
    <mergeCell ref="F9:G9"/>
    <mergeCell ref="A21:C21"/>
    <mergeCell ref="E21:G21"/>
    <mergeCell ref="F19:G19"/>
    <mergeCell ref="F20:G20"/>
    <mergeCell ref="F10:G10"/>
    <mergeCell ref="F11:G11"/>
    <mergeCell ref="F12:G12"/>
    <mergeCell ref="F13:G13"/>
    <mergeCell ref="F14:G14"/>
    <mergeCell ref="B14:C14"/>
    <mergeCell ref="B10:C10"/>
    <mergeCell ref="B11:C11"/>
    <mergeCell ref="A28:C28"/>
    <mergeCell ref="D28:G28"/>
    <mergeCell ref="A29:C29"/>
    <mergeCell ref="D29:G29"/>
    <mergeCell ref="A30:C30"/>
    <mergeCell ref="D30:G30"/>
    <mergeCell ref="A25:C25"/>
    <mergeCell ref="D25:G25"/>
    <mergeCell ref="A26:C26"/>
    <mergeCell ref="D26:G26"/>
    <mergeCell ref="A27:C27"/>
    <mergeCell ref="D27:G27"/>
    <mergeCell ref="F18:G18"/>
    <mergeCell ref="B24:C24"/>
    <mergeCell ref="E24:G24"/>
    <mergeCell ref="A22:A24"/>
    <mergeCell ref="B22:C22"/>
    <mergeCell ref="E22:G22"/>
    <mergeCell ref="B23:C23"/>
    <mergeCell ref="E23:G23"/>
    <mergeCell ref="B12:C12"/>
    <mergeCell ref="B13:C13"/>
    <mergeCell ref="A31:G31"/>
    <mergeCell ref="B32:F32"/>
    <mergeCell ref="A1:G3"/>
    <mergeCell ref="F4:G4"/>
    <mergeCell ref="B7:C7"/>
    <mergeCell ref="F7:G7"/>
    <mergeCell ref="A8:A18"/>
    <mergeCell ref="B8:C8"/>
    <mergeCell ref="F8:G8"/>
    <mergeCell ref="B16:C16"/>
    <mergeCell ref="F16:G16"/>
    <mergeCell ref="B17:C17"/>
    <mergeCell ref="F17:G17"/>
    <mergeCell ref="B18:C18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L53"/>
  <sheetViews>
    <sheetView view="pageBreakPreview" topLeftCell="A7" zoomScaleNormal="100" zoomScaleSheetLayoutView="100" workbookViewId="0">
      <selection activeCell="J35" sqref="J35"/>
    </sheetView>
  </sheetViews>
  <sheetFormatPr defaultColWidth="8.88671875" defaultRowHeight="13.5"/>
  <cols>
    <col min="1" max="1" width="8.88671875" style="1"/>
    <col min="2" max="2" width="29.21875" style="1" customWidth="1"/>
    <col min="3" max="3" width="14.5546875" style="1" customWidth="1"/>
    <col min="4" max="4" width="11.6640625" style="1" bestFit="1" customWidth="1"/>
    <col min="5" max="5" width="10.77734375" style="1" customWidth="1"/>
    <col min="6" max="6" width="8.109375" style="1" customWidth="1"/>
    <col min="7" max="7" width="10.5546875" style="1" customWidth="1"/>
    <col min="8" max="8" width="5.6640625" style="1" customWidth="1"/>
    <col min="9" max="9" width="21.6640625" style="3" bestFit="1" customWidth="1"/>
    <col min="10" max="10" width="19.44140625" style="3" bestFit="1" customWidth="1"/>
    <col min="11" max="11" width="20" style="3" bestFit="1" customWidth="1"/>
    <col min="12" max="12" width="19.44140625" style="3" bestFit="1" customWidth="1"/>
    <col min="13" max="16384" width="8.88671875" style="1"/>
  </cols>
  <sheetData>
    <row r="1" spans="1:12" ht="12.75" customHeight="1">
      <c r="A1" s="97" t="s">
        <v>36</v>
      </c>
      <c r="B1" s="98"/>
      <c r="C1" s="98"/>
      <c r="D1" s="98"/>
      <c r="E1" s="98"/>
      <c r="F1" s="98"/>
      <c r="G1" s="99"/>
    </row>
    <row r="2" spans="1:12" ht="12.75" customHeight="1">
      <c r="A2" s="100"/>
      <c r="B2" s="101"/>
      <c r="C2" s="101"/>
      <c r="D2" s="101"/>
      <c r="E2" s="101"/>
      <c r="F2" s="101"/>
      <c r="G2" s="102"/>
    </row>
    <row r="3" spans="1:12" ht="12.7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36"/>
      <c r="B4" s="37"/>
      <c r="C4" s="33"/>
      <c r="D4" s="29"/>
      <c r="E4" s="30"/>
      <c r="F4" s="103"/>
      <c r="G4" s="104"/>
    </row>
    <row r="5" spans="1:12" ht="27" customHeight="1">
      <c r="A5" s="36"/>
      <c r="B5" s="37"/>
      <c r="C5" s="39" t="s">
        <v>16</v>
      </c>
      <c r="D5" s="40">
        <f ca="1">TODAY()</f>
        <v>46031</v>
      </c>
      <c r="E5" s="84" t="s">
        <v>18</v>
      </c>
      <c r="F5" s="75" t="s">
        <v>129</v>
      </c>
      <c r="G5" s="78"/>
    </row>
    <row r="6" spans="1:12" ht="19.5" customHeight="1">
      <c r="A6" s="31" t="s">
        <v>47</v>
      </c>
      <c r="B6" s="32"/>
      <c r="C6" s="33"/>
      <c r="D6" s="34"/>
      <c r="E6" s="82" t="s">
        <v>17</v>
      </c>
      <c r="F6" s="75" t="s">
        <v>130</v>
      </c>
      <c r="G6" s="81"/>
    </row>
    <row r="7" spans="1:12" ht="19.5" customHeight="1">
      <c r="A7" s="5" t="s">
        <v>8</v>
      </c>
      <c r="B7" s="105" t="s">
        <v>1</v>
      </c>
      <c r="C7" s="106"/>
      <c r="D7" s="2" t="s">
        <v>2</v>
      </c>
      <c r="E7" s="2" t="s">
        <v>25</v>
      </c>
      <c r="F7" s="105" t="s">
        <v>7</v>
      </c>
      <c r="G7" s="107"/>
      <c r="I7" s="6"/>
      <c r="J7" s="7"/>
      <c r="K7" s="8"/>
      <c r="L7" s="8"/>
    </row>
    <row r="8" spans="1:12" ht="17.25" customHeight="1">
      <c r="A8" s="120" t="s">
        <v>48</v>
      </c>
      <c r="B8" s="109" t="s">
        <v>37</v>
      </c>
      <c r="C8" s="110"/>
      <c r="D8" s="44">
        <v>1</v>
      </c>
      <c r="E8" s="28" t="s">
        <v>21</v>
      </c>
      <c r="F8" s="111">
        <v>400000</v>
      </c>
      <c r="G8" s="112"/>
      <c r="I8" s="6"/>
      <c r="J8" s="7"/>
      <c r="K8" s="8"/>
      <c r="L8" s="8"/>
    </row>
    <row r="9" spans="1:12" ht="17.25" customHeight="1">
      <c r="A9" s="108"/>
      <c r="B9" s="109" t="s">
        <v>38</v>
      </c>
      <c r="C9" s="110"/>
      <c r="D9" s="44">
        <v>1</v>
      </c>
      <c r="E9" s="28" t="s">
        <v>21</v>
      </c>
      <c r="F9" s="111">
        <v>400000</v>
      </c>
      <c r="G9" s="112"/>
      <c r="I9" s="6"/>
      <c r="J9" s="7"/>
      <c r="K9" s="8"/>
      <c r="L9" s="8"/>
    </row>
    <row r="10" spans="1:12" ht="17.25" customHeight="1">
      <c r="A10" s="108"/>
      <c r="B10" s="109" t="s">
        <v>39</v>
      </c>
      <c r="C10" s="110"/>
      <c r="D10" s="44">
        <v>1</v>
      </c>
      <c r="E10" s="28" t="s">
        <v>21</v>
      </c>
      <c r="F10" s="111">
        <v>400000</v>
      </c>
      <c r="G10" s="112"/>
      <c r="I10" s="6"/>
      <c r="J10" s="7"/>
      <c r="K10" s="8"/>
      <c r="L10" s="8"/>
    </row>
    <row r="11" spans="1:12" ht="17.25" customHeight="1">
      <c r="A11" s="108"/>
      <c r="B11" s="109" t="s">
        <v>40</v>
      </c>
      <c r="C11" s="110"/>
      <c r="D11" s="44">
        <v>1</v>
      </c>
      <c r="E11" s="28" t="s">
        <v>21</v>
      </c>
      <c r="F11" s="111">
        <v>400000</v>
      </c>
      <c r="G11" s="112"/>
      <c r="I11" s="1"/>
      <c r="J11" s="1"/>
      <c r="K11" s="1"/>
      <c r="L11" s="1"/>
    </row>
    <row r="12" spans="1:12" ht="17.25" customHeight="1">
      <c r="A12" s="108"/>
      <c r="B12" s="109" t="s">
        <v>41</v>
      </c>
      <c r="C12" s="110"/>
      <c r="D12" s="44">
        <v>1</v>
      </c>
      <c r="E12" s="28" t="s">
        <v>21</v>
      </c>
      <c r="F12" s="111">
        <v>400000</v>
      </c>
      <c r="G12" s="112"/>
      <c r="I12" s="1"/>
      <c r="J12" s="1"/>
      <c r="K12" s="1"/>
      <c r="L12" s="1"/>
    </row>
    <row r="13" spans="1:12" ht="17.25" customHeight="1">
      <c r="A13" s="108"/>
      <c r="B13" s="109" t="s">
        <v>42</v>
      </c>
      <c r="C13" s="110"/>
      <c r="D13" s="44">
        <v>1</v>
      </c>
      <c r="E13" s="28" t="s">
        <v>21</v>
      </c>
      <c r="F13" s="111">
        <v>400000</v>
      </c>
      <c r="G13" s="112"/>
      <c r="I13" s="1"/>
      <c r="J13" s="1"/>
      <c r="K13" s="1"/>
      <c r="L13" s="1"/>
    </row>
    <row r="14" spans="1:12" ht="17.25" customHeight="1">
      <c r="A14" s="108"/>
      <c r="B14" s="109" t="s">
        <v>79</v>
      </c>
      <c r="C14" s="110"/>
      <c r="D14" s="44">
        <v>1</v>
      </c>
      <c r="E14" s="28" t="s">
        <v>21</v>
      </c>
      <c r="F14" s="111">
        <v>500000</v>
      </c>
      <c r="G14" s="112"/>
      <c r="I14" s="1"/>
      <c r="J14" s="1"/>
      <c r="K14" s="1"/>
      <c r="L14" s="1"/>
    </row>
    <row r="15" spans="1:12" ht="17.25" customHeight="1">
      <c r="A15" s="108"/>
      <c r="B15" s="109" t="s">
        <v>14</v>
      </c>
      <c r="C15" s="110"/>
      <c r="D15" s="44">
        <v>1</v>
      </c>
      <c r="E15" s="28" t="s">
        <v>21</v>
      </c>
      <c r="F15" s="111">
        <v>500000</v>
      </c>
      <c r="G15" s="112"/>
      <c r="I15" s="1"/>
      <c r="J15" s="1"/>
      <c r="K15" s="1"/>
      <c r="L15" s="1"/>
    </row>
    <row r="16" spans="1:12" ht="17.25" customHeight="1">
      <c r="A16" s="108"/>
      <c r="B16" s="153" t="s">
        <v>15</v>
      </c>
      <c r="C16" s="154"/>
      <c r="D16" s="44">
        <v>1</v>
      </c>
      <c r="E16" s="28" t="s">
        <v>21</v>
      </c>
      <c r="F16" s="111">
        <v>500000</v>
      </c>
      <c r="G16" s="112"/>
      <c r="I16" s="1"/>
      <c r="J16" s="1"/>
      <c r="K16" s="1"/>
      <c r="L16" s="1"/>
    </row>
    <row r="17" spans="1:12" ht="17.25" customHeight="1">
      <c r="A17" s="108"/>
      <c r="B17" s="153" t="s">
        <v>58</v>
      </c>
      <c r="C17" s="154"/>
      <c r="D17" s="44">
        <v>1</v>
      </c>
      <c r="E17" s="28" t="s">
        <v>26</v>
      </c>
      <c r="F17" s="111">
        <v>600000</v>
      </c>
      <c r="G17" s="112"/>
      <c r="I17" s="6"/>
      <c r="J17" s="7"/>
      <c r="K17" s="8"/>
      <c r="L17" s="8"/>
    </row>
    <row r="18" spans="1:12" ht="17.25" customHeight="1">
      <c r="A18" s="108"/>
      <c r="B18" s="153" t="s">
        <v>59</v>
      </c>
      <c r="C18" s="154"/>
      <c r="D18" s="44">
        <v>1</v>
      </c>
      <c r="E18" s="28" t="s">
        <v>26</v>
      </c>
      <c r="F18" s="111">
        <v>600000</v>
      </c>
      <c r="G18" s="112"/>
      <c r="I18" s="6"/>
      <c r="J18" s="7"/>
      <c r="K18" s="8"/>
      <c r="L18" s="8"/>
    </row>
    <row r="19" spans="1:12" ht="17.25" customHeight="1">
      <c r="A19" s="108"/>
      <c r="B19" s="109" t="s">
        <v>60</v>
      </c>
      <c r="C19" s="110"/>
      <c r="D19" s="44">
        <v>1</v>
      </c>
      <c r="E19" s="28" t="s">
        <v>26</v>
      </c>
      <c r="F19" s="111">
        <v>800000</v>
      </c>
      <c r="G19" s="112"/>
      <c r="I19" s="6"/>
      <c r="J19" s="7"/>
      <c r="K19" s="8"/>
      <c r="L19" s="8"/>
    </row>
    <row r="20" spans="1:12" ht="17.25" customHeight="1">
      <c r="A20" s="108"/>
      <c r="B20" s="109" t="s">
        <v>61</v>
      </c>
      <c r="C20" s="110"/>
      <c r="D20" s="44">
        <v>1</v>
      </c>
      <c r="E20" s="28" t="s">
        <v>26</v>
      </c>
      <c r="F20" s="111">
        <v>600000</v>
      </c>
      <c r="G20" s="112"/>
      <c r="I20" s="6"/>
      <c r="J20" s="7"/>
      <c r="K20" s="8"/>
      <c r="L20" s="8"/>
    </row>
    <row r="21" spans="1:12" ht="17.25" customHeight="1">
      <c r="A21" s="108"/>
      <c r="B21" s="153" t="s">
        <v>62</v>
      </c>
      <c r="C21" s="154"/>
      <c r="D21" s="44">
        <v>1</v>
      </c>
      <c r="E21" s="28" t="s">
        <v>26</v>
      </c>
      <c r="F21" s="111">
        <v>600000</v>
      </c>
      <c r="G21" s="112"/>
      <c r="I21" s="6"/>
      <c r="J21" s="7"/>
      <c r="K21" s="8"/>
      <c r="L21" s="8"/>
    </row>
    <row r="22" spans="1:12" ht="17.25" customHeight="1">
      <c r="A22" s="108"/>
      <c r="B22" s="153" t="s">
        <v>63</v>
      </c>
      <c r="C22" s="154"/>
      <c r="D22" s="44">
        <v>1</v>
      </c>
      <c r="E22" s="28" t="s">
        <v>26</v>
      </c>
      <c r="F22" s="111">
        <v>800000</v>
      </c>
      <c r="G22" s="112"/>
      <c r="I22" s="6"/>
      <c r="J22" s="7"/>
      <c r="K22" s="8"/>
      <c r="L22" s="8"/>
    </row>
    <row r="23" spans="1:12" ht="17.25" customHeight="1">
      <c r="A23" s="108"/>
      <c r="B23" s="153" t="s">
        <v>64</v>
      </c>
      <c r="C23" s="154"/>
      <c r="D23" s="44">
        <v>1</v>
      </c>
      <c r="E23" s="28" t="s">
        <v>26</v>
      </c>
      <c r="F23" s="111">
        <v>600000</v>
      </c>
      <c r="G23" s="112"/>
      <c r="I23" s="6"/>
      <c r="J23" s="7"/>
      <c r="K23" s="8"/>
      <c r="L23" s="8"/>
    </row>
    <row r="24" spans="1:12" ht="17.25" customHeight="1">
      <c r="A24" s="108"/>
      <c r="B24" s="153" t="s">
        <v>65</v>
      </c>
      <c r="C24" s="154"/>
      <c r="D24" s="44">
        <v>1</v>
      </c>
      <c r="E24" s="28" t="s">
        <v>26</v>
      </c>
      <c r="F24" s="111">
        <v>600000</v>
      </c>
      <c r="G24" s="112"/>
      <c r="I24" s="6"/>
      <c r="J24" s="7"/>
      <c r="K24" s="8"/>
      <c r="L24" s="8"/>
    </row>
    <row r="25" spans="1:12" ht="17.25" customHeight="1">
      <c r="A25" s="108"/>
      <c r="B25" s="153" t="s">
        <v>66</v>
      </c>
      <c r="C25" s="154"/>
      <c r="D25" s="44">
        <v>1</v>
      </c>
      <c r="E25" s="28" t="s">
        <v>26</v>
      </c>
      <c r="F25" s="111">
        <v>800000</v>
      </c>
      <c r="G25" s="112"/>
      <c r="I25" s="6"/>
      <c r="J25" s="7"/>
      <c r="K25" s="8"/>
      <c r="L25" s="8"/>
    </row>
    <row r="26" spans="1:12" ht="17.25" customHeight="1">
      <c r="A26" s="108"/>
      <c r="B26" s="109" t="s">
        <v>29</v>
      </c>
      <c r="C26" s="110"/>
      <c r="D26" s="44">
        <v>1</v>
      </c>
      <c r="E26" s="28" t="s">
        <v>31</v>
      </c>
      <c r="F26" s="111">
        <v>500000</v>
      </c>
      <c r="G26" s="112"/>
      <c r="I26" s="6"/>
      <c r="J26" s="7"/>
      <c r="K26" s="8"/>
      <c r="L26" s="8"/>
    </row>
    <row r="27" spans="1:12" ht="17.25" customHeight="1">
      <c r="A27" s="108"/>
      <c r="B27" s="109" t="s">
        <v>30</v>
      </c>
      <c r="C27" s="110"/>
      <c r="D27" s="44">
        <v>1</v>
      </c>
      <c r="E27" s="28" t="s">
        <v>23</v>
      </c>
      <c r="F27" s="117">
        <v>500000</v>
      </c>
      <c r="G27" s="118"/>
      <c r="I27" s="6"/>
      <c r="J27" s="7"/>
      <c r="K27" s="8"/>
      <c r="L27" s="8"/>
    </row>
    <row r="28" spans="1:12" ht="21.75" customHeight="1">
      <c r="A28" s="93" t="s">
        <v>85</v>
      </c>
      <c r="B28" s="94" t="s">
        <v>84</v>
      </c>
      <c r="C28" s="95">
        <v>0</v>
      </c>
      <c r="D28" s="86">
        <f>SUM(D8:D27)</f>
        <v>20</v>
      </c>
      <c r="E28" s="87" t="s">
        <v>9</v>
      </c>
      <c r="F28" s="115">
        <f>SUM(F8:G27)</f>
        <v>10900000</v>
      </c>
      <c r="G28" s="116"/>
      <c r="I28" s="1"/>
      <c r="J28" s="1"/>
      <c r="K28" s="1"/>
      <c r="L28" s="1"/>
    </row>
    <row r="29" spans="1:12" ht="19.5" customHeight="1">
      <c r="A29" s="49" t="s">
        <v>52</v>
      </c>
      <c r="B29" s="90"/>
      <c r="C29" s="91"/>
      <c r="D29" s="56"/>
      <c r="E29" s="56"/>
      <c r="F29" s="119"/>
      <c r="G29" s="122"/>
      <c r="I29" s="1"/>
      <c r="J29" s="1"/>
      <c r="K29" s="1"/>
      <c r="L29" s="1"/>
    </row>
    <row r="30" spans="1:12" ht="18" customHeight="1">
      <c r="A30" s="113" t="s">
        <v>3</v>
      </c>
      <c r="B30" s="114"/>
      <c r="C30" s="106"/>
      <c r="D30" s="47" t="s">
        <v>4</v>
      </c>
      <c r="E30" s="123" t="s">
        <v>5</v>
      </c>
      <c r="F30" s="124"/>
      <c r="G30" s="125"/>
    </row>
    <row r="31" spans="1:12" ht="18" customHeight="1">
      <c r="A31" s="120" t="s">
        <v>20</v>
      </c>
      <c r="B31" s="138" t="s">
        <v>72</v>
      </c>
      <c r="C31" s="139"/>
      <c r="D31" s="85">
        <v>0.2</v>
      </c>
      <c r="E31" s="126">
        <f>F28*D31</f>
        <v>2180000</v>
      </c>
      <c r="F31" s="126"/>
      <c r="G31" s="127"/>
    </row>
    <row r="32" spans="1:12" ht="18" customHeight="1">
      <c r="A32" s="108"/>
      <c r="B32" s="138" t="s">
        <v>35</v>
      </c>
      <c r="C32" s="140"/>
      <c r="D32" s="53">
        <v>0.2</v>
      </c>
      <c r="E32" s="128">
        <f>(F28*(1-D31)*D32)</f>
        <v>1744000</v>
      </c>
      <c r="F32" s="126"/>
      <c r="G32" s="127"/>
      <c r="H32" s="3"/>
      <c r="I32" s="6"/>
      <c r="J32" s="7"/>
      <c r="K32" s="8"/>
      <c r="L32" s="8"/>
    </row>
    <row r="33" spans="1:12" ht="18" customHeight="1">
      <c r="A33" s="121"/>
      <c r="B33" s="138" t="s">
        <v>34</v>
      </c>
      <c r="C33" s="140"/>
      <c r="D33" s="45">
        <v>0.2</v>
      </c>
      <c r="E33" s="128">
        <f>(F28*(1-D31)*(1-D32)*D33)</f>
        <v>1395200</v>
      </c>
      <c r="F33" s="126"/>
      <c r="G33" s="127"/>
      <c r="H33" s="3"/>
      <c r="I33" s="6"/>
      <c r="J33" s="7"/>
      <c r="K33" s="8"/>
      <c r="L33" s="8"/>
    </row>
    <row r="34" spans="1:12" ht="21" customHeight="1">
      <c r="A34" s="141" t="s">
        <v>46</v>
      </c>
      <c r="B34" s="142"/>
      <c r="C34" s="143"/>
      <c r="D34" s="144">
        <f>ROUNDUP(SUM(E31:G33),-3)</f>
        <v>5320000</v>
      </c>
      <c r="E34" s="145"/>
      <c r="F34" s="145"/>
      <c r="G34" s="146"/>
      <c r="H34" s="3"/>
      <c r="I34" s="1"/>
      <c r="J34" s="1"/>
      <c r="K34" s="1"/>
      <c r="L34" s="1"/>
    </row>
    <row r="35" spans="1:12" ht="21" customHeight="1">
      <c r="A35" s="129" t="s">
        <v>51</v>
      </c>
      <c r="B35" s="130"/>
      <c r="C35" s="131"/>
      <c r="D35" s="132">
        <f>F28-D34</f>
        <v>5580000</v>
      </c>
      <c r="E35" s="133"/>
      <c r="F35" s="133"/>
      <c r="G35" s="134"/>
      <c r="H35" s="3"/>
      <c r="I35" s="1"/>
      <c r="J35" s="1"/>
      <c r="K35" s="1"/>
      <c r="L35" s="1"/>
    </row>
    <row r="36" spans="1:12" s="46" customFormat="1" ht="23.25" customHeight="1">
      <c r="A36" s="129" t="s">
        <v>83</v>
      </c>
      <c r="B36" s="130"/>
      <c r="C36" s="131"/>
      <c r="D36" s="132">
        <f>SUM(D35+C28)</f>
        <v>5580000</v>
      </c>
      <c r="E36" s="133"/>
      <c r="F36" s="133"/>
      <c r="G36" s="134"/>
      <c r="H36" s="48"/>
    </row>
    <row r="37" spans="1:12" s="46" customFormat="1" ht="23.25" customHeight="1">
      <c r="A37" s="129" t="s">
        <v>88</v>
      </c>
      <c r="B37" s="130"/>
      <c r="C37" s="131"/>
      <c r="D37" s="147">
        <f>SUM(D36/3)</f>
        <v>1860000</v>
      </c>
      <c r="E37" s="148"/>
      <c r="F37" s="148"/>
      <c r="G37" s="149"/>
      <c r="H37" s="48"/>
    </row>
    <row r="38" spans="1:12" s="46" customFormat="1" ht="23.25" customHeight="1">
      <c r="A38" s="129" t="s">
        <v>89</v>
      </c>
      <c r="B38" s="130"/>
      <c r="C38" s="131"/>
      <c r="D38" s="147">
        <f>SUM(D36/6)</f>
        <v>930000</v>
      </c>
      <c r="E38" s="148"/>
      <c r="F38" s="148"/>
      <c r="G38" s="149"/>
      <c r="H38" s="48"/>
    </row>
    <row r="39" spans="1:12" s="46" customFormat="1" ht="23.25" customHeight="1">
      <c r="A39" s="129" t="s">
        <v>90</v>
      </c>
      <c r="B39" s="130"/>
      <c r="C39" s="131"/>
      <c r="D39" s="147">
        <f>SUM(D35/D28)</f>
        <v>279000</v>
      </c>
      <c r="E39" s="148"/>
      <c r="F39" s="148"/>
      <c r="G39" s="149"/>
      <c r="H39" s="48"/>
    </row>
    <row r="40" spans="1:12" s="46" customFormat="1" ht="23.25" customHeight="1">
      <c r="A40" s="135" t="s">
        <v>91</v>
      </c>
      <c r="B40" s="136"/>
      <c r="C40" s="136"/>
      <c r="D40" s="136"/>
      <c r="E40" s="136"/>
      <c r="F40" s="136"/>
      <c r="G40" s="137"/>
      <c r="H40" s="48"/>
    </row>
    <row r="41" spans="1:12" s="46" customFormat="1" ht="16.5" customHeight="1">
      <c r="A41" s="55"/>
      <c r="B41" s="119"/>
      <c r="C41" s="119"/>
      <c r="D41" s="119"/>
      <c r="E41" s="119"/>
      <c r="F41" s="119"/>
      <c r="G41" s="54"/>
      <c r="I41" s="52"/>
    </row>
    <row r="42" spans="1:12" s="46" customFormat="1" ht="16.5" customHeight="1">
      <c r="A42" s="64" t="s">
        <v>6</v>
      </c>
      <c r="B42" s="92"/>
      <c r="C42" s="92"/>
      <c r="D42" s="92"/>
      <c r="E42" s="92"/>
      <c r="F42" s="92"/>
      <c r="G42" s="54"/>
      <c r="I42" s="52"/>
    </row>
    <row r="43" spans="1:12" s="46" customFormat="1" ht="16.5" customHeight="1">
      <c r="A43" s="55" t="s">
        <v>0</v>
      </c>
      <c r="B43" s="92"/>
      <c r="C43" s="92"/>
      <c r="D43" s="92"/>
      <c r="E43" s="92"/>
      <c r="F43" s="92"/>
      <c r="G43" s="54"/>
    </row>
    <row r="44" spans="1:12" s="46" customFormat="1" ht="16.5" customHeight="1">
      <c r="A44" s="55" t="s">
        <v>54</v>
      </c>
      <c r="B44" s="92"/>
      <c r="C44" s="92"/>
      <c r="D44" s="92"/>
      <c r="E44" s="92"/>
      <c r="F44" s="92"/>
      <c r="G44" s="54"/>
    </row>
    <row r="45" spans="1:12" s="46" customFormat="1" ht="16.5" customHeight="1">
      <c r="A45" s="55" t="s">
        <v>56</v>
      </c>
      <c r="B45" s="56"/>
      <c r="C45" s="56"/>
      <c r="D45" s="57"/>
      <c r="E45" s="57"/>
      <c r="F45" s="58"/>
      <c r="G45" s="59"/>
      <c r="I45" s="48"/>
      <c r="J45" s="48"/>
      <c r="K45" s="48"/>
      <c r="L45" s="48"/>
    </row>
    <row r="46" spans="1:12" s="46" customFormat="1" ht="16.5" customHeight="1">
      <c r="A46" s="55"/>
      <c r="B46" s="56"/>
      <c r="C46" s="56"/>
      <c r="D46" s="57"/>
      <c r="E46" s="57"/>
      <c r="F46" s="58"/>
      <c r="G46" s="59"/>
      <c r="I46" s="48"/>
      <c r="J46" s="48"/>
      <c r="K46" s="48"/>
      <c r="L46" s="48"/>
    </row>
    <row r="47" spans="1:12" s="46" customFormat="1" ht="16.5" customHeight="1">
      <c r="A47" s="64" t="s">
        <v>57</v>
      </c>
      <c r="B47" s="60"/>
      <c r="C47" s="60"/>
      <c r="D47" s="61"/>
      <c r="E47" s="61"/>
      <c r="F47" s="61"/>
      <c r="G47" s="62"/>
      <c r="I47" s="48"/>
      <c r="J47" s="48"/>
      <c r="K47" s="48"/>
      <c r="L47" s="48"/>
    </row>
    <row r="48" spans="1:12" s="46" customFormat="1" ht="16.5" customHeight="1">
      <c r="A48" s="55" t="s">
        <v>10</v>
      </c>
      <c r="B48" s="63"/>
      <c r="C48" s="63"/>
      <c r="D48" s="61"/>
      <c r="E48" s="61"/>
      <c r="F48" s="61"/>
      <c r="G48" s="62"/>
      <c r="I48" s="48"/>
      <c r="J48" s="48"/>
      <c r="K48" s="48"/>
      <c r="L48" s="48"/>
    </row>
    <row r="49" spans="1:12" s="46" customFormat="1" ht="16.5" customHeight="1">
      <c r="A49" s="55" t="s">
        <v>11</v>
      </c>
      <c r="B49" s="63"/>
      <c r="C49" s="63"/>
      <c r="D49" s="61"/>
      <c r="E49" s="61"/>
      <c r="F49" s="61"/>
      <c r="G49" s="62"/>
      <c r="I49" s="48"/>
      <c r="J49" s="48"/>
      <c r="K49" s="48"/>
      <c r="L49" s="48"/>
    </row>
    <row r="50" spans="1:12" s="46" customFormat="1" ht="16.5" customHeight="1">
      <c r="A50" s="64" t="s">
        <v>33</v>
      </c>
      <c r="B50" s="65"/>
      <c r="C50" s="65"/>
      <c r="D50" s="61"/>
      <c r="E50" s="61"/>
      <c r="F50" s="61"/>
      <c r="G50" s="62"/>
      <c r="I50" s="48"/>
      <c r="J50" s="48"/>
      <c r="K50" s="48"/>
      <c r="L50" s="48"/>
    </row>
    <row r="51" spans="1:12" s="46" customFormat="1" ht="16.5" customHeight="1">
      <c r="A51" s="55" t="s">
        <v>12</v>
      </c>
      <c r="B51" s="66"/>
      <c r="C51" s="66"/>
      <c r="D51" s="61"/>
      <c r="E51" s="61"/>
      <c r="F51" s="61"/>
      <c r="G51" s="62"/>
      <c r="I51" s="48"/>
      <c r="J51" s="48"/>
      <c r="K51" s="48"/>
      <c r="L51" s="48"/>
    </row>
    <row r="52" spans="1:12" s="46" customFormat="1" ht="16.5" customHeight="1">
      <c r="A52" s="55" t="s">
        <v>55</v>
      </c>
      <c r="B52" s="66"/>
      <c r="C52" s="66"/>
      <c r="D52" s="61"/>
      <c r="E52" s="61"/>
      <c r="F52" s="61"/>
      <c r="G52" s="62"/>
      <c r="I52" s="48"/>
      <c r="J52" s="48"/>
      <c r="K52" s="48"/>
      <c r="L52" s="48"/>
    </row>
    <row r="53" spans="1:12" s="46" customFormat="1">
      <c r="A53" s="55" t="s">
        <v>13</v>
      </c>
      <c r="B53" s="67"/>
      <c r="C53" s="67"/>
      <c r="D53" s="61"/>
      <c r="E53" s="61"/>
      <c r="F53" s="61"/>
      <c r="G53" s="62"/>
      <c r="I53" s="48"/>
      <c r="J53" s="48"/>
      <c r="K53" s="48"/>
      <c r="L53" s="48"/>
    </row>
  </sheetData>
  <mergeCells count="70">
    <mergeCell ref="B26:C26"/>
    <mergeCell ref="F26:G26"/>
    <mergeCell ref="A30:C30"/>
    <mergeCell ref="E30:G30"/>
    <mergeCell ref="B27:C27"/>
    <mergeCell ref="F27:G27"/>
    <mergeCell ref="F28:G28"/>
    <mergeCell ref="F29:G29"/>
    <mergeCell ref="A37:C37"/>
    <mergeCell ref="D37:G37"/>
    <mergeCell ref="A38:C38"/>
    <mergeCell ref="D38:G38"/>
    <mergeCell ref="A36:C36"/>
    <mergeCell ref="D36:G36"/>
    <mergeCell ref="D35:G35"/>
    <mergeCell ref="A35:C35"/>
    <mergeCell ref="A31:A33"/>
    <mergeCell ref="B31:C31"/>
    <mergeCell ref="E31:G31"/>
    <mergeCell ref="B32:C32"/>
    <mergeCell ref="E32:G32"/>
    <mergeCell ref="B33:C33"/>
    <mergeCell ref="E33:G33"/>
    <mergeCell ref="A34:C34"/>
    <mergeCell ref="D34:G34"/>
    <mergeCell ref="B13:C13"/>
    <mergeCell ref="F13:G13"/>
    <mergeCell ref="B14:C14"/>
    <mergeCell ref="F14:G14"/>
    <mergeCell ref="B25:C25"/>
    <mergeCell ref="F25:G25"/>
    <mergeCell ref="B15:C15"/>
    <mergeCell ref="F15:G15"/>
    <mergeCell ref="F24:G24"/>
    <mergeCell ref="B18:C18"/>
    <mergeCell ref="F18:G18"/>
    <mergeCell ref="B22:C22"/>
    <mergeCell ref="F22:G22"/>
    <mergeCell ref="A1:G3"/>
    <mergeCell ref="F4:G4"/>
    <mergeCell ref="B7:C7"/>
    <mergeCell ref="F7:G7"/>
    <mergeCell ref="A8:A27"/>
    <mergeCell ref="B8:C8"/>
    <mergeCell ref="F8:G8"/>
    <mergeCell ref="B9:C9"/>
    <mergeCell ref="F9:G9"/>
    <mergeCell ref="B10:C10"/>
    <mergeCell ref="F10:G10"/>
    <mergeCell ref="B11:C11"/>
    <mergeCell ref="B17:C17"/>
    <mergeCell ref="F17:G17"/>
    <mergeCell ref="B12:C12"/>
    <mergeCell ref="F12:G12"/>
    <mergeCell ref="D39:G39"/>
    <mergeCell ref="A39:C39"/>
    <mergeCell ref="A40:G40"/>
    <mergeCell ref="B41:F41"/>
    <mergeCell ref="F11:G11"/>
    <mergeCell ref="B16:C16"/>
    <mergeCell ref="F16:G16"/>
    <mergeCell ref="B24:C24"/>
    <mergeCell ref="B19:C19"/>
    <mergeCell ref="F19:G19"/>
    <mergeCell ref="B20:C20"/>
    <mergeCell ref="F20:G20"/>
    <mergeCell ref="B23:C23"/>
    <mergeCell ref="F23:G23"/>
    <mergeCell ref="B21:C21"/>
    <mergeCell ref="F21:G21"/>
  </mergeCells>
  <phoneticPr fontId="2" type="noConversion"/>
  <pageMargins left="0.7" right="0.7" top="0.75" bottom="0.75" header="0.3" footer="0.3"/>
  <pageSetup paperSize="9" scale="7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L42"/>
  <sheetViews>
    <sheetView view="pageBreakPreview" zoomScaleNormal="100" zoomScaleSheetLayoutView="100" workbookViewId="0">
      <selection activeCell="E16" sqref="E16"/>
    </sheetView>
  </sheetViews>
  <sheetFormatPr defaultColWidth="8.88671875" defaultRowHeight="13.5"/>
  <cols>
    <col min="1" max="1" width="8.88671875" style="46"/>
    <col min="2" max="2" width="29.21875" style="46" customWidth="1"/>
    <col min="3" max="3" width="14.5546875" style="46" customWidth="1"/>
    <col min="4" max="4" width="11.6640625" style="46" bestFit="1" customWidth="1"/>
    <col min="5" max="5" width="10.77734375" style="46" customWidth="1"/>
    <col min="6" max="6" width="8.109375" style="46" customWidth="1"/>
    <col min="7" max="7" width="10.5546875" style="46" customWidth="1"/>
    <col min="8" max="8" width="5.6640625" style="46" customWidth="1"/>
    <col min="9" max="9" width="21.6640625" style="48" bestFit="1" customWidth="1"/>
    <col min="10" max="10" width="19.44140625" style="48" bestFit="1" customWidth="1"/>
    <col min="11" max="11" width="20" style="48" bestFit="1" customWidth="1"/>
    <col min="12" max="12" width="19.44140625" style="48" bestFit="1" customWidth="1"/>
    <col min="13" max="16384" width="8.88671875" style="46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79"/>
      <c r="B4" s="80"/>
      <c r="C4" s="76"/>
      <c r="D4" s="72"/>
      <c r="E4" s="73"/>
      <c r="F4" s="103"/>
      <c r="G4" s="104"/>
    </row>
    <row r="5" spans="1:12" ht="27" customHeight="1">
      <c r="A5" s="79"/>
      <c r="B5" s="80"/>
      <c r="C5" s="82" t="s">
        <v>16</v>
      </c>
      <c r="D5" s="83">
        <f ca="1">TODAY()</f>
        <v>46031</v>
      </c>
      <c r="E5" s="84" t="s">
        <v>18</v>
      </c>
      <c r="F5" s="75" t="s">
        <v>86</v>
      </c>
      <c r="G5" s="78"/>
    </row>
    <row r="6" spans="1:12" ht="19.5" customHeight="1">
      <c r="A6" s="74" t="s">
        <v>47</v>
      </c>
      <c r="B6" s="75"/>
      <c r="C6" s="76"/>
      <c r="D6" s="77"/>
      <c r="E6" s="82" t="s">
        <v>17</v>
      </c>
      <c r="F6" s="75" t="s">
        <v>87</v>
      </c>
      <c r="G6" s="81"/>
    </row>
    <row r="7" spans="1:12" ht="19.5" customHeight="1">
      <c r="A7" s="50" t="s">
        <v>8</v>
      </c>
      <c r="B7" s="105" t="s">
        <v>1</v>
      </c>
      <c r="C7" s="106"/>
      <c r="D7" s="47" t="s">
        <v>2</v>
      </c>
      <c r="E7" s="47" t="s">
        <v>19</v>
      </c>
      <c r="F7" s="105" t="s">
        <v>7</v>
      </c>
      <c r="G7" s="107"/>
      <c r="I7" s="6"/>
      <c r="J7" s="7"/>
      <c r="K7" s="51"/>
      <c r="L7" s="51"/>
    </row>
    <row r="8" spans="1:12" ht="19.5" customHeight="1">
      <c r="A8" s="120" t="s">
        <v>120</v>
      </c>
      <c r="B8" s="109" t="s">
        <v>37</v>
      </c>
      <c r="C8" s="110"/>
      <c r="D8" s="44">
        <v>1</v>
      </c>
      <c r="E8" s="71" t="s">
        <v>21</v>
      </c>
      <c r="F8" s="111">
        <v>400000</v>
      </c>
      <c r="G8" s="112"/>
      <c r="I8" s="6"/>
      <c r="J8" s="7"/>
      <c r="K8" s="51"/>
      <c r="L8" s="51"/>
    </row>
    <row r="9" spans="1:12" ht="19.5" customHeight="1">
      <c r="A9" s="108"/>
      <c r="B9" s="109" t="s">
        <v>38</v>
      </c>
      <c r="C9" s="110"/>
      <c r="D9" s="44">
        <v>1</v>
      </c>
      <c r="E9" s="71" t="s">
        <v>21</v>
      </c>
      <c r="F9" s="111">
        <v>400000</v>
      </c>
      <c r="G9" s="112"/>
      <c r="I9" s="6"/>
      <c r="J9" s="7"/>
      <c r="K9" s="51"/>
      <c r="L9" s="51"/>
    </row>
    <row r="10" spans="1:12" ht="19.5" customHeight="1">
      <c r="A10" s="108"/>
      <c r="B10" s="151" t="s">
        <v>101</v>
      </c>
      <c r="C10" s="152"/>
      <c r="D10" s="44">
        <v>1</v>
      </c>
      <c r="E10" s="71" t="s">
        <v>112</v>
      </c>
      <c r="F10" s="111">
        <v>500000</v>
      </c>
      <c r="G10" s="112"/>
      <c r="I10" s="6"/>
      <c r="J10" s="7"/>
      <c r="K10" s="51"/>
      <c r="L10" s="51"/>
    </row>
    <row r="11" spans="1:12" ht="19.5" customHeight="1">
      <c r="A11" s="108"/>
      <c r="B11" s="151" t="s">
        <v>102</v>
      </c>
      <c r="C11" s="152"/>
      <c r="D11" s="44">
        <v>1</v>
      </c>
      <c r="E11" s="71" t="s">
        <v>113</v>
      </c>
      <c r="F11" s="111">
        <v>500000</v>
      </c>
      <c r="G11" s="112"/>
      <c r="I11" s="6"/>
      <c r="J11" s="7"/>
      <c r="K11" s="51"/>
      <c r="L11" s="51"/>
    </row>
    <row r="12" spans="1:12" ht="19.5" customHeight="1">
      <c r="A12" s="108"/>
      <c r="B12" s="151" t="s">
        <v>103</v>
      </c>
      <c r="C12" s="152"/>
      <c r="D12" s="44">
        <v>1</v>
      </c>
      <c r="E12" s="71" t="s">
        <v>21</v>
      </c>
      <c r="F12" s="111">
        <v>500000</v>
      </c>
      <c r="G12" s="112"/>
      <c r="I12" s="6"/>
      <c r="J12" s="7"/>
      <c r="K12" s="51"/>
      <c r="L12" s="51"/>
    </row>
    <row r="13" spans="1:12" ht="19.5" customHeight="1">
      <c r="A13" s="108"/>
      <c r="B13" s="151" t="s">
        <v>104</v>
      </c>
      <c r="C13" s="152"/>
      <c r="D13" s="44">
        <v>1</v>
      </c>
      <c r="E13" s="71" t="s">
        <v>114</v>
      </c>
      <c r="F13" s="111">
        <v>500000</v>
      </c>
      <c r="G13" s="112"/>
      <c r="I13" s="6"/>
      <c r="J13" s="7"/>
      <c r="K13" s="51"/>
      <c r="L13" s="51"/>
    </row>
    <row r="14" spans="1:12" ht="19.5" customHeight="1">
      <c r="A14" s="108"/>
      <c r="B14" s="151" t="s">
        <v>105</v>
      </c>
      <c r="C14" s="152"/>
      <c r="D14" s="44">
        <v>1</v>
      </c>
      <c r="E14" s="71" t="s">
        <v>115</v>
      </c>
      <c r="F14" s="111">
        <v>500000</v>
      </c>
      <c r="G14" s="112"/>
      <c r="I14" s="6"/>
      <c r="J14" s="7"/>
      <c r="K14" s="51"/>
      <c r="L14" s="51"/>
    </row>
    <row r="15" spans="1:12" ht="19.5" customHeight="1">
      <c r="A15" s="108"/>
      <c r="B15" s="109" t="s">
        <v>118</v>
      </c>
      <c r="C15" s="110"/>
      <c r="D15" s="44">
        <v>1</v>
      </c>
      <c r="E15" s="71" t="s">
        <v>22</v>
      </c>
      <c r="F15" s="111">
        <v>600000</v>
      </c>
      <c r="G15" s="112"/>
      <c r="I15" s="6"/>
      <c r="J15" s="7"/>
      <c r="K15" s="51"/>
      <c r="L15" s="51"/>
    </row>
    <row r="16" spans="1:12" ht="19.5" customHeight="1">
      <c r="A16" s="108"/>
      <c r="B16" s="109" t="s">
        <v>117</v>
      </c>
      <c r="C16" s="110"/>
      <c r="D16" s="44">
        <v>1</v>
      </c>
      <c r="E16" s="71" t="s">
        <v>22</v>
      </c>
      <c r="F16" s="111">
        <v>600000</v>
      </c>
      <c r="G16" s="112"/>
      <c r="I16" s="6"/>
      <c r="J16" s="7"/>
      <c r="K16" s="51"/>
      <c r="L16" s="51"/>
    </row>
    <row r="17" spans="1:12" ht="33.6" customHeight="1">
      <c r="A17" s="93" t="s">
        <v>85</v>
      </c>
      <c r="B17" s="94" t="s">
        <v>84</v>
      </c>
      <c r="C17" s="95">
        <v>500000</v>
      </c>
      <c r="D17" s="86">
        <f>SUM(D8:D16)</f>
        <v>9</v>
      </c>
      <c r="E17" s="88" t="s">
        <v>9</v>
      </c>
      <c r="F17" s="150">
        <f>SUM(F8:G16)</f>
        <v>4500000</v>
      </c>
      <c r="G17" s="116"/>
      <c r="I17" s="46"/>
      <c r="J17" s="46"/>
      <c r="K17" s="46"/>
      <c r="L17" s="46"/>
    </row>
    <row r="18" spans="1:12" ht="19.5" customHeight="1">
      <c r="A18" s="49" t="s">
        <v>52</v>
      </c>
      <c r="B18" s="90"/>
      <c r="C18" s="91"/>
      <c r="D18" s="56"/>
      <c r="E18" s="56"/>
      <c r="F18" s="119"/>
      <c r="G18" s="122"/>
      <c r="I18" s="46"/>
      <c r="J18" s="46"/>
      <c r="K18" s="46"/>
      <c r="L18" s="46"/>
    </row>
    <row r="19" spans="1:12" ht="19.5" customHeight="1">
      <c r="A19" s="113" t="s">
        <v>3</v>
      </c>
      <c r="B19" s="114"/>
      <c r="C19" s="106"/>
      <c r="D19" s="47" t="s">
        <v>4</v>
      </c>
      <c r="E19" s="123" t="s">
        <v>5</v>
      </c>
      <c r="F19" s="124"/>
      <c r="G19" s="125"/>
    </row>
    <row r="20" spans="1:12" ht="19.5" customHeight="1">
      <c r="A20" s="120" t="s">
        <v>20</v>
      </c>
      <c r="B20" s="138" t="s">
        <v>72</v>
      </c>
      <c r="C20" s="139"/>
      <c r="D20" s="85">
        <v>0.15</v>
      </c>
      <c r="E20" s="126">
        <f>F17*D20</f>
        <v>675000</v>
      </c>
      <c r="F20" s="126"/>
      <c r="G20" s="127"/>
    </row>
    <row r="21" spans="1:12" ht="19.5" customHeight="1">
      <c r="A21" s="108"/>
      <c r="B21" s="138" t="s">
        <v>35</v>
      </c>
      <c r="C21" s="140"/>
      <c r="D21" s="53">
        <v>0.1</v>
      </c>
      <c r="E21" s="128">
        <f>(F17*(1-D20)*D21)</f>
        <v>382500</v>
      </c>
      <c r="F21" s="126"/>
      <c r="G21" s="127"/>
      <c r="H21" s="48"/>
      <c r="I21" s="6"/>
      <c r="J21" s="7"/>
      <c r="K21" s="51"/>
      <c r="L21" s="51"/>
    </row>
    <row r="22" spans="1:12" ht="19.5" customHeight="1">
      <c r="A22" s="121"/>
      <c r="B22" s="138" t="s">
        <v>34</v>
      </c>
      <c r="C22" s="140"/>
      <c r="D22" s="45">
        <v>0.05</v>
      </c>
      <c r="E22" s="126">
        <f>(F17*(1-D20)*(1-D21)*D22)</f>
        <v>172125</v>
      </c>
      <c r="F22" s="126"/>
      <c r="G22" s="127"/>
      <c r="H22" s="48"/>
      <c r="I22" s="6"/>
      <c r="J22" s="7"/>
      <c r="K22" s="51"/>
      <c r="L22" s="51"/>
    </row>
    <row r="23" spans="1:12" ht="23.25" customHeight="1">
      <c r="A23" s="141" t="s">
        <v>46</v>
      </c>
      <c r="B23" s="142"/>
      <c r="C23" s="143"/>
      <c r="D23" s="144">
        <f>ROUNDUP(SUM(E20:G22),-3)</f>
        <v>1230000</v>
      </c>
      <c r="E23" s="145"/>
      <c r="F23" s="145"/>
      <c r="G23" s="146"/>
      <c r="H23" s="48"/>
      <c r="I23" s="46"/>
      <c r="J23" s="46"/>
      <c r="K23" s="46"/>
      <c r="L23" s="46"/>
    </row>
    <row r="24" spans="1:12" ht="23.25" customHeight="1">
      <c r="A24" s="129" t="s">
        <v>51</v>
      </c>
      <c r="B24" s="130"/>
      <c r="C24" s="131"/>
      <c r="D24" s="132">
        <f>F17-D23</f>
        <v>3270000</v>
      </c>
      <c r="E24" s="133"/>
      <c r="F24" s="133"/>
      <c r="G24" s="134"/>
      <c r="H24" s="48"/>
      <c r="I24" s="46"/>
      <c r="J24" s="46"/>
      <c r="K24" s="46"/>
      <c r="L24" s="46"/>
    </row>
    <row r="25" spans="1:12" ht="23.25" customHeight="1">
      <c r="A25" s="129" t="s">
        <v>83</v>
      </c>
      <c r="B25" s="130"/>
      <c r="C25" s="131"/>
      <c r="D25" s="132">
        <f>SUM(D24+C17)</f>
        <v>3770000</v>
      </c>
      <c r="E25" s="133"/>
      <c r="F25" s="133"/>
      <c r="G25" s="134"/>
      <c r="H25" s="48"/>
      <c r="I25" s="46"/>
      <c r="J25" s="46"/>
      <c r="K25" s="46"/>
      <c r="L25" s="46"/>
    </row>
    <row r="26" spans="1:12" ht="23.25" customHeight="1">
      <c r="A26" s="129" t="s">
        <v>88</v>
      </c>
      <c r="B26" s="130"/>
      <c r="C26" s="131"/>
      <c r="D26" s="147">
        <f>SUM(D25/3)</f>
        <v>1256666.6666666667</v>
      </c>
      <c r="E26" s="148"/>
      <c r="F26" s="148"/>
      <c r="G26" s="149"/>
      <c r="H26" s="48"/>
      <c r="I26" s="46"/>
      <c r="J26" s="46"/>
      <c r="K26" s="46"/>
      <c r="L26" s="46"/>
    </row>
    <row r="27" spans="1:12" ht="23.25" customHeight="1">
      <c r="A27" s="129" t="s">
        <v>89</v>
      </c>
      <c r="B27" s="130"/>
      <c r="C27" s="131"/>
      <c r="D27" s="147">
        <f>SUM(D25/6)</f>
        <v>628333.33333333337</v>
      </c>
      <c r="E27" s="148"/>
      <c r="F27" s="148"/>
      <c r="G27" s="149"/>
      <c r="H27" s="48"/>
      <c r="I27" s="46"/>
      <c r="J27" s="46"/>
      <c r="K27" s="46"/>
      <c r="L27" s="46"/>
    </row>
    <row r="28" spans="1:12" ht="23.25" customHeight="1">
      <c r="A28" s="129" t="s">
        <v>90</v>
      </c>
      <c r="B28" s="130"/>
      <c r="C28" s="131"/>
      <c r="D28" s="147">
        <f>SUM(D24/D17)</f>
        <v>363333.33333333331</v>
      </c>
      <c r="E28" s="148"/>
      <c r="F28" s="148"/>
      <c r="G28" s="149"/>
      <c r="H28" s="48"/>
      <c r="I28" s="46"/>
      <c r="J28" s="46"/>
      <c r="K28" s="46"/>
      <c r="L28" s="46"/>
    </row>
    <row r="29" spans="1:12" ht="23.25" customHeight="1">
      <c r="A29" s="135" t="s">
        <v>91</v>
      </c>
      <c r="B29" s="136"/>
      <c r="C29" s="136"/>
      <c r="D29" s="136"/>
      <c r="E29" s="136"/>
      <c r="F29" s="136"/>
      <c r="G29" s="137"/>
      <c r="H29" s="48"/>
      <c r="I29" s="46"/>
      <c r="J29" s="46"/>
      <c r="K29" s="46"/>
      <c r="L29" s="46"/>
    </row>
    <row r="30" spans="1:12" ht="16.5" customHeight="1">
      <c r="A30" s="55"/>
      <c r="B30" s="119"/>
      <c r="C30" s="119"/>
      <c r="D30" s="119"/>
      <c r="E30" s="119"/>
      <c r="F30" s="119"/>
      <c r="G30" s="54"/>
      <c r="I30" s="52"/>
      <c r="J30" s="46"/>
      <c r="K30" s="46"/>
      <c r="L30" s="46"/>
    </row>
    <row r="31" spans="1:12" ht="16.5" customHeight="1">
      <c r="A31" s="64" t="s">
        <v>6</v>
      </c>
      <c r="B31" s="92"/>
      <c r="C31" s="92"/>
      <c r="D31" s="92"/>
      <c r="E31" s="92"/>
      <c r="F31" s="92"/>
      <c r="G31" s="54"/>
      <c r="I31" s="52"/>
      <c r="J31" s="46"/>
      <c r="K31" s="46"/>
      <c r="L31" s="46"/>
    </row>
    <row r="32" spans="1:12" ht="16.5" customHeight="1">
      <c r="A32" s="55" t="s">
        <v>0</v>
      </c>
      <c r="B32" s="92"/>
      <c r="C32" s="92"/>
      <c r="D32" s="92"/>
      <c r="E32" s="92"/>
      <c r="F32" s="92"/>
      <c r="G32" s="54"/>
      <c r="I32" s="46"/>
      <c r="J32" s="46"/>
      <c r="K32" s="46"/>
      <c r="L32" s="46"/>
    </row>
    <row r="33" spans="1:12" ht="16.5" customHeight="1">
      <c r="A33" s="55" t="s">
        <v>54</v>
      </c>
      <c r="B33" s="92"/>
      <c r="C33" s="92"/>
      <c r="D33" s="92"/>
      <c r="E33" s="92"/>
      <c r="F33" s="92"/>
      <c r="G33" s="54"/>
      <c r="I33" s="46"/>
      <c r="J33" s="46"/>
      <c r="K33" s="46"/>
      <c r="L33" s="46"/>
    </row>
    <row r="34" spans="1:12" ht="16.5" customHeight="1">
      <c r="A34" s="55" t="s">
        <v>56</v>
      </c>
      <c r="B34" s="56"/>
      <c r="C34" s="56"/>
      <c r="D34" s="57"/>
      <c r="E34" s="57"/>
      <c r="F34" s="58"/>
      <c r="G34" s="59"/>
    </row>
    <row r="35" spans="1:12" ht="16.5" customHeight="1">
      <c r="A35" s="55"/>
      <c r="B35" s="56"/>
      <c r="C35" s="56"/>
      <c r="D35" s="57"/>
      <c r="E35" s="57"/>
      <c r="F35" s="58"/>
      <c r="G35" s="59"/>
    </row>
    <row r="36" spans="1:12" ht="16.5" customHeight="1">
      <c r="A36" s="64" t="s">
        <v>57</v>
      </c>
      <c r="B36" s="60"/>
      <c r="C36" s="60"/>
      <c r="D36" s="61"/>
      <c r="E36" s="61"/>
      <c r="F36" s="61"/>
      <c r="G36" s="62"/>
    </row>
    <row r="37" spans="1:12" ht="16.5" customHeight="1">
      <c r="A37" s="55" t="s">
        <v>10</v>
      </c>
      <c r="B37" s="63"/>
      <c r="C37" s="63"/>
      <c r="D37" s="61"/>
      <c r="E37" s="61"/>
      <c r="F37" s="61"/>
      <c r="G37" s="62"/>
    </row>
    <row r="38" spans="1:12" ht="16.5" customHeight="1">
      <c r="A38" s="55" t="s">
        <v>11</v>
      </c>
      <c r="B38" s="63"/>
      <c r="C38" s="63"/>
      <c r="D38" s="61"/>
      <c r="E38" s="61"/>
      <c r="F38" s="61"/>
      <c r="G38" s="62"/>
    </row>
    <row r="39" spans="1:12" ht="16.5" customHeight="1">
      <c r="A39" s="64" t="s">
        <v>33</v>
      </c>
      <c r="B39" s="65"/>
      <c r="C39" s="65"/>
      <c r="D39" s="61"/>
      <c r="E39" s="61"/>
      <c r="F39" s="61"/>
      <c r="G39" s="62"/>
    </row>
    <row r="40" spans="1:12" ht="16.5" customHeight="1">
      <c r="A40" s="55" t="s">
        <v>12</v>
      </c>
      <c r="B40" s="66"/>
      <c r="C40" s="66"/>
      <c r="D40" s="61"/>
      <c r="E40" s="61"/>
      <c r="F40" s="61"/>
      <c r="G40" s="62"/>
    </row>
    <row r="41" spans="1:12" ht="16.5" customHeight="1">
      <c r="A41" s="55" t="s">
        <v>55</v>
      </c>
      <c r="B41" s="66"/>
      <c r="C41" s="66"/>
      <c r="D41" s="61"/>
      <c r="E41" s="61"/>
      <c r="F41" s="61"/>
      <c r="G41" s="62"/>
    </row>
    <row r="42" spans="1:12">
      <c r="A42" s="55" t="s">
        <v>13</v>
      </c>
      <c r="B42" s="67"/>
      <c r="C42" s="67"/>
      <c r="D42" s="61"/>
      <c r="E42" s="61"/>
      <c r="F42" s="61"/>
      <c r="G42" s="62"/>
    </row>
  </sheetData>
  <mergeCells count="48">
    <mergeCell ref="A25:C25"/>
    <mergeCell ref="A26:C26"/>
    <mergeCell ref="D25:G25"/>
    <mergeCell ref="A1:G3"/>
    <mergeCell ref="F4:G4"/>
    <mergeCell ref="B7:C7"/>
    <mergeCell ref="F7:G7"/>
    <mergeCell ref="A8:A16"/>
    <mergeCell ref="B8:C8"/>
    <mergeCell ref="F8:G8"/>
    <mergeCell ref="F17:G17"/>
    <mergeCell ref="F18:G18"/>
    <mergeCell ref="A19:C19"/>
    <mergeCell ref="E19:G19"/>
    <mergeCell ref="B22:C22"/>
    <mergeCell ref="E22:G22"/>
    <mergeCell ref="A23:C23"/>
    <mergeCell ref="D23:G23"/>
    <mergeCell ref="A24:C24"/>
    <mergeCell ref="D24:G24"/>
    <mergeCell ref="A20:A22"/>
    <mergeCell ref="B20:C20"/>
    <mergeCell ref="E20:G20"/>
    <mergeCell ref="B21:C21"/>
    <mergeCell ref="E21:G21"/>
    <mergeCell ref="A29:G29"/>
    <mergeCell ref="B30:F30"/>
    <mergeCell ref="D26:G26"/>
    <mergeCell ref="A27:C27"/>
    <mergeCell ref="D27:G27"/>
    <mergeCell ref="A28:C28"/>
    <mergeCell ref="D28:G28"/>
    <mergeCell ref="B9:C9"/>
    <mergeCell ref="F9:G9"/>
    <mergeCell ref="B10:C10"/>
    <mergeCell ref="F10:G10"/>
    <mergeCell ref="B11:C11"/>
    <mergeCell ref="F11:G11"/>
    <mergeCell ref="B16:C16"/>
    <mergeCell ref="F16:G16"/>
    <mergeCell ref="B15:C15"/>
    <mergeCell ref="F15:G15"/>
    <mergeCell ref="B12:C12"/>
    <mergeCell ref="F12:G12"/>
    <mergeCell ref="B13:C13"/>
    <mergeCell ref="F13:G13"/>
    <mergeCell ref="B14:C14"/>
    <mergeCell ref="F14:G14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L43"/>
  <sheetViews>
    <sheetView view="pageBreakPreview" zoomScaleNormal="100" zoomScaleSheetLayoutView="100" workbookViewId="0">
      <selection activeCell="A29" sqref="A29:G30"/>
    </sheetView>
  </sheetViews>
  <sheetFormatPr defaultColWidth="8.88671875" defaultRowHeight="13.5"/>
  <cols>
    <col min="1" max="1" width="8.88671875" style="1"/>
    <col min="2" max="2" width="29.21875" style="1" customWidth="1"/>
    <col min="3" max="3" width="14.5546875" style="1" customWidth="1"/>
    <col min="4" max="4" width="11.6640625" style="1" bestFit="1" customWidth="1"/>
    <col min="5" max="5" width="10.77734375" style="1" customWidth="1"/>
    <col min="6" max="6" width="8.109375" style="1" customWidth="1"/>
    <col min="7" max="7" width="10.5546875" style="1" customWidth="1"/>
    <col min="8" max="8" width="5.6640625" style="1" customWidth="1"/>
    <col min="9" max="9" width="21.6640625" style="3" bestFit="1" customWidth="1"/>
    <col min="10" max="10" width="19.44140625" style="3" bestFit="1" customWidth="1"/>
    <col min="11" max="11" width="20" style="3" bestFit="1" customWidth="1"/>
    <col min="12" max="12" width="19.44140625" style="3" bestFit="1" customWidth="1"/>
    <col min="13" max="16384" width="8.88671875" style="1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36"/>
      <c r="B4" s="37"/>
      <c r="C4" s="33"/>
      <c r="D4" s="29"/>
      <c r="E4" s="30"/>
      <c r="F4" s="103"/>
      <c r="G4" s="104"/>
    </row>
    <row r="5" spans="1:12" ht="27" customHeight="1">
      <c r="A5" s="36"/>
      <c r="B5" s="37"/>
      <c r="C5" s="39" t="s">
        <v>16</v>
      </c>
      <c r="D5" s="40">
        <f ca="1">TODAY()</f>
        <v>46031</v>
      </c>
      <c r="E5" s="84" t="s">
        <v>18</v>
      </c>
      <c r="F5" s="75" t="s">
        <v>86</v>
      </c>
      <c r="G5" s="78"/>
    </row>
    <row r="6" spans="1:12" ht="19.5" customHeight="1">
      <c r="A6" s="31" t="s">
        <v>47</v>
      </c>
      <c r="B6" s="32"/>
      <c r="C6" s="33"/>
      <c r="D6" s="34"/>
      <c r="E6" s="82" t="s">
        <v>17</v>
      </c>
      <c r="F6" s="75" t="s">
        <v>87</v>
      </c>
      <c r="G6" s="81"/>
    </row>
    <row r="7" spans="1:12" ht="19.5" customHeight="1">
      <c r="A7" s="5" t="s">
        <v>8</v>
      </c>
      <c r="B7" s="105" t="s">
        <v>1</v>
      </c>
      <c r="C7" s="106"/>
      <c r="D7" s="2" t="s">
        <v>2</v>
      </c>
      <c r="E7" s="2" t="s">
        <v>19</v>
      </c>
      <c r="F7" s="105" t="s">
        <v>7</v>
      </c>
      <c r="G7" s="107"/>
      <c r="I7" s="6"/>
      <c r="J7" s="7"/>
      <c r="K7" s="8"/>
      <c r="L7" s="8"/>
    </row>
    <row r="8" spans="1:12" ht="19.5" customHeight="1">
      <c r="A8" s="120" t="s">
        <v>50</v>
      </c>
      <c r="B8" s="109" t="s">
        <v>37</v>
      </c>
      <c r="C8" s="110"/>
      <c r="D8" s="44">
        <v>1</v>
      </c>
      <c r="E8" s="28" t="s">
        <v>21</v>
      </c>
      <c r="F8" s="111">
        <v>400000</v>
      </c>
      <c r="G8" s="112"/>
      <c r="I8" s="6"/>
      <c r="J8" s="7"/>
      <c r="K8" s="8"/>
      <c r="L8" s="8"/>
    </row>
    <row r="9" spans="1:12" ht="19.5" customHeight="1">
      <c r="A9" s="108"/>
      <c r="B9" s="109" t="s">
        <v>38</v>
      </c>
      <c r="C9" s="110"/>
      <c r="D9" s="44">
        <v>1</v>
      </c>
      <c r="E9" s="28" t="s">
        <v>21</v>
      </c>
      <c r="F9" s="111">
        <v>400000</v>
      </c>
      <c r="G9" s="112"/>
      <c r="I9" s="6"/>
      <c r="J9" s="7"/>
      <c r="K9" s="8"/>
      <c r="L9" s="8"/>
    </row>
    <row r="10" spans="1:12" ht="19.5" customHeight="1">
      <c r="A10" s="108"/>
      <c r="B10" s="109" t="s">
        <v>39</v>
      </c>
      <c r="C10" s="110"/>
      <c r="D10" s="44">
        <v>1</v>
      </c>
      <c r="E10" s="28" t="s">
        <v>21</v>
      </c>
      <c r="F10" s="111">
        <v>400000</v>
      </c>
      <c r="G10" s="112"/>
      <c r="I10" s="6"/>
      <c r="J10" s="7"/>
      <c r="K10" s="8"/>
      <c r="L10" s="8"/>
    </row>
    <row r="11" spans="1:12" ht="19.5" customHeight="1">
      <c r="A11" s="108"/>
      <c r="B11" s="109" t="s">
        <v>40</v>
      </c>
      <c r="C11" s="110"/>
      <c r="D11" s="44">
        <v>1</v>
      </c>
      <c r="E11" s="28" t="s">
        <v>21</v>
      </c>
      <c r="F11" s="111">
        <v>400000</v>
      </c>
      <c r="G11" s="112"/>
      <c r="I11" s="6"/>
      <c r="J11" s="7"/>
      <c r="K11" s="8"/>
      <c r="L11" s="8"/>
    </row>
    <row r="12" spans="1:12" ht="19.5" customHeight="1">
      <c r="A12" s="108"/>
      <c r="B12" s="109" t="s">
        <v>41</v>
      </c>
      <c r="C12" s="110"/>
      <c r="D12" s="44">
        <v>1</v>
      </c>
      <c r="E12" s="28" t="s">
        <v>21</v>
      </c>
      <c r="F12" s="111">
        <v>400000</v>
      </c>
      <c r="G12" s="112"/>
      <c r="I12" s="6"/>
      <c r="J12" s="7"/>
      <c r="K12" s="8"/>
      <c r="L12" s="8"/>
    </row>
    <row r="13" spans="1:12" ht="19.5" customHeight="1">
      <c r="A13" s="108"/>
      <c r="B13" s="109" t="s">
        <v>42</v>
      </c>
      <c r="C13" s="110"/>
      <c r="D13" s="44">
        <v>1</v>
      </c>
      <c r="E13" s="28" t="s">
        <v>21</v>
      </c>
      <c r="F13" s="111">
        <v>400000</v>
      </c>
      <c r="G13" s="112"/>
      <c r="I13" s="6"/>
      <c r="J13" s="7"/>
      <c r="K13" s="8"/>
      <c r="L13" s="8"/>
    </row>
    <row r="14" spans="1:12" s="46" customFormat="1" ht="19.5" customHeight="1">
      <c r="A14" s="108"/>
      <c r="B14" s="109" t="s">
        <v>79</v>
      </c>
      <c r="C14" s="110"/>
      <c r="D14" s="44">
        <v>1</v>
      </c>
      <c r="E14" s="71" t="s">
        <v>21</v>
      </c>
      <c r="F14" s="111">
        <v>500000</v>
      </c>
      <c r="G14" s="112"/>
      <c r="I14" s="6"/>
      <c r="J14" s="7"/>
      <c r="K14" s="51"/>
      <c r="L14" s="51"/>
    </row>
    <row r="15" spans="1:12" ht="19.5" customHeight="1">
      <c r="A15" s="108"/>
      <c r="B15" s="109" t="s">
        <v>43</v>
      </c>
      <c r="C15" s="110"/>
      <c r="D15" s="44">
        <v>1</v>
      </c>
      <c r="E15" s="28" t="s">
        <v>22</v>
      </c>
      <c r="F15" s="111">
        <v>500000</v>
      </c>
      <c r="G15" s="112"/>
      <c r="I15" s="6"/>
      <c r="J15" s="7"/>
      <c r="K15" s="8"/>
      <c r="L15" s="8"/>
    </row>
    <row r="16" spans="1:12" ht="19.5" customHeight="1">
      <c r="A16" s="108"/>
      <c r="B16" s="109" t="s">
        <v>44</v>
      </c>
      <c r="C16" s="110"/>
      <c r="D16" s="44">
        <v>1</v>
      </c>
      <c r="E16" s="28" t="s">
        <v>22</v>
      </c>
      <c r="F16" s="111">
        <v>500000</v>
      </c>
      <c r="G16" s="112"/>
      <c r="I16" s="1"/>
      <c r="J16" s="1"/>
      <c r="K16" s="1"/>
      <c r="L16" s="1"/>
    </row>
    <row r="17" spans="1:12" ht="19.5" customHeight="1">
      <c r="A17" s="108"/>
      <c r="B17" s="109" t="s">
        <v>45</v>
      </c>
      <c r="C17" s="110"/>
      <c r="D17" s="44">
        <v>1</v>
      </c>
      <c r="E17" s="28" t="s">
        <v>27</v>
      </c>
      <c r="F17" s="111">
        <v>500000</v>
      </c>
      <c r="G17" s="112"/>
      <c r="I17" s="6"/>
      <c r="J17" s="7"/>
      <c r="K17" s="8"/>
      <c r="L17" s="8"/>
    </row>
    <row r="18" spans="1:12" ht="33.6" customHeight="1">
      <c r="A18" s="93" t="s">
        <v>85</v>
      </c>
      <c r="B18" s="94" t="s">
        <v>84</v>
      </c>
      <c r="C18" s="95">
        <v>500000</v>
      </c>
      <c r="D18" s="86">
        <f>SUM(D8:D17)</f>
        <v>10</v>
      </c>
      <c r="E18" s="88" t="s">
        <v>9</v>
      </c>
      <c r="F18" s="150">
        <f>SUM(F8:G17)</f>
        <v>4400000</v>
      </c>
      <c r="G18" s="116"/>
      <c r="I18" s="1"/>
      <c r="J18" s="1"/>
      <c r="K18" s="1"/>
      <c r="L18" s="1"/>
    </row>
    <row r="19" spans="1:12" ht="19.5" customHeight="1">
      <c r="A19" s="49" t="s">
        <v>52</v>
      </c>
      <c r="B19" s="90"/>
      <c r="C19" s="91"/>
      <c r="D19" s="56"/>
      <c r="E19" s="56"/>
      <c r="F19" s="119"/>
      <c r="G19" s="122"/>
      <c r="I19" s="1"/>
      <c r="J19" s="1"/>
      <c r="K19" s="1"/>
      <c r="L19" s="1"/>
    </row>
    <row r="20" spans="1:12" ht="19.5" customHeight="1">
      <c r="A20" s="113" t="s">
        <v>3</v>
      </c>
      <c r="B20" s="114"/>
      <c r="C20" s="106"/>
      <c r="D20" s="47" t="s">
        <v>4</v>
      </c>
      <c r="E20" s="123" t="s">
        <v>5</v>
      </c>
      <c r="F20" s="124"/>
      <c r="G20" s="125"/>
    </row>
    <row r="21" spans="1:12" ht="19.5" customHeight="1">
      <c r="A21" s="120" t="s">
        <v>20</v>
      </c>
      <c r="B21" s="138" t="s">
        <v>72</v>
      </c>
      <c r="C21" s="139"/>
      <c r="D21" s="85">
        <v>0.15</v>
      </c>
      <c r="E21" s="126">
        <f>F18*D21</f>
        <v>660000</v>
      </c>
      <c r="F21" s="126"/>
      <c r="G21" s="127"/>
    </row>
    <row r="22" spans="1:12" ht="19.5" customHeight="1">
      <c r="A22" s="108"/>
      <c r="B22" s="138" t="s">
        <v>35</v>
      </c>
      <c r="C22" s="140"/>
      <c r="D22" s="53">
        <v>0.1</v>
      </c>
      <c r="E22" s="128">
        <f>(F18*(1-D21)*D22)</f>
        <v>374000</v>
      </c>
      <c r="F22" s="126"/>
      <c r="G22" s="127"/>
      <c r="H22" s="3"/>
      <c r="I22" s="6"/>
      <c r="J22" s="7"/>
      <c r="K22" s="8"/>
      <c r="L22" s="8"/>
    </row>
    <row r="23" spans="1:12" ht="19.5" customHeight="1">
      <c r="A23" s="121"/>
      <c r="B23" s="138" t="s">
        <v>34</v>
      </c>
      <c r="C23" s="140"/>
      <c r="D23" s="45">
        <v>0.05</v>
      </c>
      <c r="E23" s="126">
        <f>(F18*(1-D21)*(1-D22)*D23)</f>
        <v>168300</v>
      </c>
      <c r="F23" s="126"/>
      <c r="G23" s="127"/>
      <c r="H23" s="3"/>
      <c r="I23" s="6"/>
      <c r="J23" s="7"/>
      <c r="K23" s="8"/>
      <c r="L23" s="8"/>
    </row>
    <row r="24" spans="1:12" ht="23.25" customHeight="1">
      <c r="A24" s="141" t="s">
        <v>46</v>
      </c>
      <c r="B24" s="142"/>
      <c r="C24" s="143"/>
      <c r="D24" s="144">
        <f>ROUNDUP(SUM(E21:G23),-3)</f>
        <v>1203000</v>
      </c>
      <c r="E24" s="145"/>
      <c r="F24" s="145"/>
      <c r="G24" s="146"/>
      <c r="H24" s="3"/>
      <c r="I24" s="1"/>
      <c r="J24" s="1"/>
      <c r="K24" s="1"/>
      <c r="L24" s="1"/>
    </row>
    <row r="25" spans="1:12" ht="23.25" customHeight="1">
      <c r="A25" s="129" t="s">
        <v>51</v>
      </c>
      <c r="B25" s="130"/>
      <c r="C25" s="131"/>
      <c r="D25" s="132">
        <f>F18-D24</f>
        <v>3197000</v>
      </c>
      <c r="E25" s="133"/>
      <c r="F25" s="133"/>
      <c r="G25" s="134"/>
      <c r="H25" s="3"/>
      <c r="I25" s="1"/>
      <c r="J25" s="1"/>
      <c r="K25" s="1"/>
      <c r="L25" s="1"/>
    </row>
    <row r="26" spans="1:12" s="46" customFormat="1" ht="23.25" customHeight="1">
      <c r="A26" s="129" t="s">
        <v>83</v>
      </c>
      <c r="B26" s="130"/>
      <c r="C26" s="131"/>
      <c r="D26" s="132">
        <f>SUM(D25+C18)</f>
        <v>3697000</v>
      </c>
      <c r="E26" s="133"/>
      <c r="F26" s="133"/>
      <c r="G26" s="134"/>
      <c r="H26" s="48"/>
    </row>
    <row r="27" spans="1:12" s="46" customFormat="1" ht="23.25" customHeight="1">
      <c r="A27" s="129" t="s">
        <v>88</v>
      </c>
      <c r="B27" s="130"/>
      <c r="C27" s="131"/>
      <c r="D27" s="147">
        <f>SUM(D26/3)</f>
        <v>1232333.3333333333</v>
      </c>
      <c r="E27" s="148"/>
      <c r="F27" s="148"/>
      <c r="G27" s="149"/>
      <c r="H27" s="48"/>
    </row>
    <row r="28" spans="1:12" s="46" customFormat="1" ht="23.25" customHeight="1">
      <c r="A28" s="129" t="s">
        <v>89</v>
      </c>
      <c r="B28" s="130"/>
      <c r="C28" s="131"/>
      <c r="D28" s="147">
        <f>SUM(D26/6)</f>
        <v>616166.66666666663</v>
      </c>
      <c r="E28" s="148"/>
      <c r="F28" s="148"/>
      <c r="G28" s="149"/>
      <c r="H28" s="48"/>
    </row>
    <row r="29" spans="1:12" s="46" customFormat="1" ht="23.25" customHeight="1">
      <c r="A29" s="129" t="s">
        <v>90</v>
      </c>
      <c r="B29" s="130"/>
      <c r="C29" s="131"/>
      <c r="D29" s="147">
        <f>SUM(D25/D18)</f>
        <v>319700</v>
      </c>
      <c r="E29" s="148"/>
      <c r="F29" s="148"/>
      <c r="G29" s="149"/>
      <c r="H29" s="48"/>
    </row>
    <row r="30" spans="1:12" s="46" customFormat="1" ht="23.25" customHeight="1">
      <c r="A30" s="135" t="s">
        <v>91</v>
      </c>
      <c r="B30" s="136"/>
      <c r="C30" s="136"/>
      <c r="D30" s="136"/>
      <c r="E30" s="136"/>
      <c r="F30" s="136"/>
      <c r="G30" s="137"/>
      <c r="H30" s="48"/>
    </row>
    <row r="31" spans="1:12" s="46" customFormat="1" ht="16.5" customHeight="1">
      <c r="A31" s="55"/>
      <c r="B31" s="119"/>
      <c r="C31" s="119"/>
      <c r="D31" s="119"/>
      <c r="E31" s="119"/>
      <c r="F31" s="119"/>
      <c r="G31" s="54"/>
      <c r="I31" s="52"/>
    </row>
    <row r="32" spans="1:12" s="46" customFormat="1" ht="16.5" customHeight="1">
      <c r="A32" s="64" t="s">
        <v>6</v>
      </c>
      <c r="B32" s="92"/>
      <c r="C32" s="92"/>
      <c r="D32" s="92"/>
      <c r="E32" s="92"/>
      <c r="F32" s="92"/>
      <c r="G32" s="54"/>
      <c r="I32" s="52"/>
    </row>
    <row r="33" spans="1:12" s="46" customFormat="1" ht="16.5" customHeight="1">
      <c r="A33" s="55" t="s">
        <v>0</v>
      </c>
      <c r="B33" s="92"/>
      <c r="C33" s="92"/>
      <c r="D33" s="92"/>
      <c r="E33" s="92"/>
      <c r="F33" s="92"/>
      <c r="G33" s="54"/>
    </row>
    <row r="34" spans="1:12" s="46" customFormat="1" ht="16.5" customHeight="1">
      <c r="A34" s="55" t="s">
        <v>54</v>
      </c>
      <c r="B34" s="92"/>
      <c r="C34" s="92"/>
      <c r="D34" s="92"/>
      <c r="E34" s="92"/>
      <c r="F34" s="92"/>
      <c r="G34" s="54"/>
    </row>
    <row r="35" spans="1:12" s="46" customFormat="1" ht="16.5" customHeight="1">
      <c r="A35" s="55" t="s">
        <v>56</v>
      </c>
      <c r="B35" s="56"/>
      <c r="C35" s="56"/>
      <c r="D35" s="57"/>
      <c r="E35" s="57"/>
      <c r="F35" s="58"/>
      <c r="G35" s="59"/>
      <c r="I35" s="48"/>
      <c r="J35" s="48"/>
      <c r="K35" s="48"/>
      <c r="L35" s="48"/>
    </row>
    <row r="36" spans="1:12" s="46" customFormat="1" ht="16.5" customHeight="1">
      <c r="A36" s="55"/>
      <c r="B36" s="56"/>
      <c r="C36" s="56"/>
      <c r="D36" s="57"/>
      <c r="E36" s="57"/>
      <c r="F36" s="58"/>
      <c r="G36" s="59"/>
      <c r="I36" s="48"/>
      <c r="J36" s="48"/>
      <c r="K36" s="48"/>
      <c r="L36" s="48"/>
    </row>
    <row r="37" spans="1:12" s="46" customFormat="1" ht="16.5" customHeight="1">
      <c r="A37" s="64" t="s">
        <v>57</v>
      </c>
      <c r="B37" s="60"/>
      <c r="C37" s="60"/>
      <c r="D37" s="61"/>
      <c r="E37" s="61"/>
      <c r="F37" s="61"/>
      <c r="G37" s="62"/>
      <c r="I37" s="48"/>
      <c r="J37" s="48"/>
      <c r="K37" s="48"/>
      <c r="L37" s="48"/>
    </row>
    <row r="38" spans="1:12" s="46" customFormat="1" ht="16.5" customHeight="1">
      <c r="A38" s="55" t="s">
        <v>10</v>
      </c>
      <c r="B38" s="63"/>
      <c r="C38" s="63"/>
      <c r="D38" s="61"/>
      <c r="E38" s="61"/>
      <c r="F38" s="61"/>
      <c r="G38" s="62"/>
      <c r="I38" s="48"/>
      <c r="J38" s="48"/>
      <c r="K38" s="48"/>
      <c r="L38" s="48"/>
    </row>
    <row r="39" spans="1:12" s="46" customFormat="1" ht="16.5" customHeight="1">
      <c r="A39" s="55" t="s">
        <v>11</v>
      </c>
      <c r="B39" s="63"/>
      <c r="C39" s="63"/>
      <c r="D39" s="61"/>
      <c r="E39" s="61"/>
      <c r="F39" s="61"/>
      <c r="G39" s="62"/>
      <c r="I39" s="48"/>
      <c r="J39" s="48"/>
      <c r="K39" s="48"/>
      <c r="L39" s="48"/>
    </row>
    <row r="40" spans="1:12" s="46" customFormat="1" ht="16.5" customHeight="1">
      <c r="A40" s="64" t="s">
        <v>33</v>
      </c>
      <c r="B40" s="65"/>
      <c r="C40" s="65"/>
      <c r="D40" s="61"/>
      <c r="E40" s="61"/>
      <c r="F40" s="61"/>
      <c r="G40" s="62"/>
      <c r="I40" s="48"/>
      <c r="J40" s="48"/>
      <c r="K40" s="48"/>
      <c r="L40" s="48"/>
    </row>
    <row r="41" spans="1:12" s="46" customFormat="1" ht="16.5" customHeight="1">
      <c r="A41" s="55" t="s">
        <v>12</v>
      </c>
      <c r="B41" s="66"/>
      <c r="C41" s="66"/>
      <c r="D41" s="61"/>
      <c r="E41" s="61"/>
      <c r="F41" s="61"/>
      <c r="G41" s="62"/>
      <c r="I41" s="48"/>
      <c r="J41" s="48"/>
      <c r="K41" s="48"/>
      <c r="L41" s="48"/>
    </row>
    <row r="42" spans="1:12" s="46" customFormat="1" ht="16.5" customHeight="1">
      <c r="A42" s="55" t="s">
        <v>55</v>
      </c>
      <c r="B42" s="66"/>
      <c r="C42" s="66"/>
      <c r="D42" s="61"/>
      <c r="E42" s="61"/>
      <c r="F42" s="61"/>
      <c r="G42" s="62"/>
      <c r="I42" s="48"/>
      <c r="J42" s="48"/>
      <c r="K42" s="48"/>
      <c r="L42" s="48"/>
    </row>
    <row r="43" spans="1:12" s="46" customFormat="1">
      <c r="A43" s="55" t="s">
        <v>13</v>
      </c>
      <c r="B43" s="67"/>
      <c r="C43" s="67"/>
      <c r="D43" s="61"/>
      <c r="E43" s="61"/>
      <c r="F43" s="61"/>
      <c r="G43" s="62"/>
      <c r="I43" s="48"/>
      <c r="J43" s="48"/>
      <c r="K43" s="48"/>
      <c r="L43" s="48"/>
    </row>
  </sheetData>
  <mergeCells count="50">
    <mergeCell ref="B11:C11"/>
    <mergeCell ref="F11:G11"/>
    <mergeCell ref="B10:C10"/>
    <mergeCell ref="F10:G10"/>
    <mergeCell ref="E22:G22"/>
    <mergeCell ref="F15:G15"/>
    <mergeCell ref="F18:G18"/>
    <mergeCell ref="F19:G19"/>
    <mergeCell ref="A20:C20"/>
    <mergeCell ref="E20:G20"/>
    <mergeCell ref="B16:C16"/>
    <mergeCell ref="F16:G16"/>
    <mergeCell ref="B14:C14"/>
    <mergeCell ref="F14:G14"/>
    <mergeCell ref="A25:C25"/>
    <mergeCell ref="D25:G25"/>
    <mergeCell ref="A26:C26"/>
    <mergeCell ref="D26:G26"/>
    <mergeCell ref="A27:C27"/>
    <mergeCell ref="A24:C24"/>
    <mergeCell ref="D24:G24"/>
    <mergeCell ref="A21:A23"/>
    <mergeCell ref="B21:C21"/>
    <mergeCell ref="E21:G21"/>
    <mergeCell ref="B22:C22"/>
    <mergeCell ref="B23:C23"/>
    <mergeCell ref="E23:G23"/>
    <mergeCell ref="A1:G3"/>
    <mergeCell ref="F4:G4"/>
    <mergeCell ref="B7:C7"/>
    <mergeCell ref="F7:G7"/>
    <mergeCell ref="A8:A17"/>
    <mergeCell ref="B8:C8"/>
    <mergeCell ref="F8:G8"/>
    <mergeCell ref="B15:C15"/>
    <mergeCell ref="B12:C12"/>
    <mergeCell ref="F12:G12"/>
    <mergeCell ref="B13:C13"/>
    <mergeCell ref="F13:G13"/>
    <mergeCell ref="B17:C17"/>
    <mergeCell ref="F17:G17"/>
    <mergeCell ref="B9:C9"/>
    <mergeCell ref="F9:G9"/>
    <mergeCell ref="A30:G30"/>
    <mergeCell ref="B31:F31"/>
    <mergeCell ref="D27:G27"/>
    <mergeCell ref="A28:C28"/>
    <mergeCell ref="D28:G28"/>
    <mergeCell ref="A29:C29"/>
    <mergeCell ref="D29:G29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A1:L35"/>
  <sheetViews>
    <sheetView view="pageBreakPreview" zoomScaleNormal="100" zoomScaleSheetLayoutView="100" workbookViewId="0">
      <selection activeCell="A21" sqref="A21:G22"/>
    </sheetView>
  </sheetViews>
  <sheetFormatPr defaultColWidth="8.88671875" defaultRowHeight="13.5"/>
  <cols>
    <col min="1" max="1" width="8.88671875" style="1"/>
    <col min="2" max="2" width="29.21875" style="1" customWidth="1"/>
    <col min="3" max="3" width="14.5546875" style="1" customWidth="1"/>
    <col min="4" max="4" width="11.6640625" style="1" bestFit="1" customWidth="1"/>
    <col min="5" max="5" width="10.77734375" style="1" customWidth="1"/>
    <col min="6" max="6" width="8.109375" style="1" customWidth="1"/>
    <col min="7" max="7" width="10.5546875" style="1" customWidth="1"/>
    <col min="8" max="8" width="5.6640625" style="1" customWidth="1"/>
    <col min="9" max="9" width="21.6640625" style="3" bestFit="1" customWidth="1"/>
    <col min="10" max="10" width="19.44140625" style="3" bestFit="1" customWidth="1"/>
    <col min="11" max="11" width="20" style="3" bestFit="1" customWidth="1"/>
    <col min="12" max="12" width="19.44140625" style="3" bestFit="1" customWidth="1"/>
    <col min="13" max="16384" width="8.88671875" style="1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36"/>
      <c r="B4" s="37"/>
      <c r="C4" s="33"/>
      <c r="D4" s="29"/>
      <c r="E4" s="30"/>
      <c r="F4" s="103"/>
      <c r="G4" s="104"/>
    </row>
    <row r="5" spans="1:12" ht="27" customHeight="1">
      <c r="A5" s="36"/>
      <c r="B5" s="37"/>
      <c r="C5" s="39" t="s">
        <v>16</v>
      </c>
      <c r="D5" s="40">
        <f ca="1">TODAY()</f>
        <v>46031</v>
      </c>
      <c r="E5" s="84" t="s">
        <v>18</v>
      </c>
      <c r="F5" s="75" t="s">
        <v>86</v>
      </c>
      <c r="G5" s="78"/>
    </row>
    <row r="6" spans="1:12" ht="19.5" customHeight="1">
      <c r="A6" s="31" t="s">
        <v>47</v>
      </c>
      <c r="B6" s="32"/>
      <c r="C6" s="33"/>
      <c r="D6" s="34"/>
      <c r="E6" s="82" t="s">
        <v>17</v>
      </c>
      <c r="F6" s="75" t="s">
        <v>87</v>
      </c>
      <c r="G6" s="81"/>
    </row>
    <row r="7" spans="1:12" ht="19.5" customHeight="1">
      <c r="A7" s="5" t="s">
        <v>8</v>
      </c>
      <c r="B7" s="105" t="s">
        <v>1</v>
      </c>
      <c r="C7" s="106"/>
      <c r="D7" s="2" t="s">
        <v>2</v>
      </c>
      <c r="E7" s="2" t="s">
        <v>19</v>
      </c>
      <c r="F7" s="105" t="s">
        <v>7</v>
      </c>
      <c r="G7" s="107"/>
      <c r="I7" s="6"/>
      <c r="J7" s="7"/>
      <c r="K7" s="8"/>
      <c r="L7" s="8"/>
    </row>
    <row r="8" spans="1:12" ht="19.5" customHeight="1">
      <c r="A8" s="120" t="s">
        <v>28</v>
      </c>
      <c r="B8" s="153" t="s">
        <v>81</v>
      </c>
      <c r="C8" s="154"/>
      <c r="D8" s="44">
        <v>1</v>
      </c>
      <c r="E8" s="28" t="s">
        <v>31</v>
      </c>
      <c r="F8" s="111">
        <v>500000</v>
      </c>
      <c r="G8" s="112"/>
      <c r="I8" s="6"/>
      <c r="J8" s="7"/>
      <c r="K8" s="8"/>
      <c r="L8" s="8"/>
    </row>
    <row r="9" spans="1:12" ht="19.5" customHeight="1">
      <c r="A9" s="108"/>
      <c r="B9" s="153" t="s">
        <v>82</v>
      </c>
      <c r="C9" s="154"/>
      <c r="D9" s="44">
        <v>1</v>
      </c>
      <c r="E9" s="28" t="s">
        <v>23</v>
      </c>
      <c r="F9" s="111">
        <v>500000</v>
      </c>
      <c r="G9" s="112"/>
      <c r="I9" s="6"/>
      <c r="J9" s="7"/>
      <c r="K9" s="8"/>
      <c r="L9" s="8"/>
    </row>
    <row r="10" spans="1:12" ht="33.6" customHeight="1">
      <c r="A10" s="93" t="s">
        <v>85</v>
      </c>
      <c r="B10" s="94" t="s">
        <v>84</v>
      </c>
      <c r="C10" s="95">
        <v>500000</v>
      </c>
      <c r="D10" s="89">
        <f>SUM(D8:D9)</f>
        <v>2</v>
      </c>
      <c r="E10" s="87" t="s">
        <v>9</v>
      </c>
      <c r="F10" s="115">
        <f>SUM(F8:G9)</f>
        <v>1000000</v>
      </c>
      <c r="G10" s="116"/>
      <c r="I10" s="1"/>
      <c r="J10" s="1"/>
      <c r="K10" s="1"/>
      <c r="L10" s="1"/>
    </row>
    <row r="11" spans="1:12" ht="19.5" customHeight="1">
      <c r="A11" s="49" t="s">
        <v>52</v>
      </c>
      <c r="B11" s="90"/>
      <c r="C11" s="91"/>
      <c r="D11" s="56"/>
      <c r="E11" s="56"/>
      <c r="F11" s="119"/>
      <c r="G11" s="122"/>
      <c r="I11" s="1"/>
      <c r="J11" s="1"/>
      <c r="K11" s="1"/>
      <c r="L11" s="1"/>
    </row>
    <row r="12" spans="1:12" ht="19.5" customHeight="1">
      <c r="A12" s="113" t="s">
        <v>3</v>
      </c>
      <c r="B12" s="114"/>
      <c r="C12" s="106"/>
      <c r="D12" s="47" t="s">
        <v>4</v>
      </c>
      <c r="E12" s="123" t="s">
        <v>5</v>
      </c>
      <c r="F12" s="124"/>
      <c r="G12" s="125"/>
    </row>
    <row r="13" spans="1:12" ht="19.5" customHeight="1">
      <c r="A13" s="120" t="s">
        <v>20</v>
      </c>
      <c r="B13" s="138" t="s">
        <v>72</v>
      </c>
      <c r="C13" s="139"/>
      <c r="D13" s="85">
        <v>0.15</v>
      </c>
      <c r="E13" s="126">
        <f>F10*D13</f>
        <v>150000</v>
      </c>
      <c r="F13" s="126"/>
      <c r="G13" s="127"/>
    </row>
    <row r="14" spans="1:12" ht="19.5" customHeight="1">
      <c r="A14" s="108"/>
      <c r="B14" s="138" t="s">
        <v>35</v>
      </c>
      <c r="C14" s="140"/>
      <c r="D14" s="53">
        <v>0.1</v>
      </c>
      <c r="E14" s="128">
        <f>(F10*(1-D13)*D14)</f>
        <v>85000</v>
      </c>
      <c r="F14" s="126"/>
      <c r="G14" s="127"/>
      <c r="H14" s="3"/>
      <c r="I14" s="6"/>
      <c r="J14" s="7"/>
      <c r="K14" s="8"/>
      <c r="L14" s="8"/>
    </row>
    <row r="15" spans="1:12" ht="19.5" customHeight="1">
      <c r="A15" s="121"/>
      <c r="B15" s="138" t="s">
        <v>34</v>
      </c>
      <c r="C15" s="140"/>
      <c r="D15" s="45">
        <v>0.05</v>
      </c>
      <c r="E15" s="126">
        <f>(F10*(1-D13)*(1-D14)*D15)</f>
        <v>38250</v>
      </c>
      <c r="F15" s="126"/>
      <c r="G15" s="127"/>
      <c r="H15" s="3"/>
      <c r="I15" s="6"/>
      <c r="J15" s="7"/>
      <c r="K15" s="8"/>
      <c r="L15" s="8"/>
    </row>
    <row r="16" spans="1:12" ht="23.25" customHeight="1">
      <c r="A16" s="141" t="s">
        <v>46</v>
      </c>
      <c r="B16" s="142"/>
      <c r="C16" s="143"/>
      <c r="D16" s="144">
        <f>ROUNDUP(SUM(E13:G15),-3)</f>
        <v>274000</v>
      </c>
      <c r="E16" s="145"/>
      <c r="F16" s="145"/>
      <c r="G16" s="146"/>
      <c r="H16" s="3"/>
      <c r="I16" s="1"/>
      <c r="J16" s="1"/>
      <c r="K16" s="1"/>
      <c r="L16" s="1"/>
    </row>
    <row r="17" spans="1:12" ht="23.25" customHeight="1">
      <c r="A17" s="129" t="s">
        <v>51</v>
      </c>
      <c r="B17" s="130"/>
      <c r="C17" s="131"/>
      <c r="D17" s="132">
        <f>F10-D16</f>
        <v>726000</v>
      </c>
      <c r="E17" s="133"/>
      <c r="F17" s="133"/>
      <c r="G17" s="134"/>
      <c r="H17" s="3"/>
      <c r="I17" s="1"/>
      <c r="J17" s="1"/>
      <c r="K17" s="1"/>
      <c r="L17" s="1"/>
    </row>
    <row r="18" spans="1:12" s="46" customFormat="1" ht="23.25" customHeight="1">
      <c r="A18" s="129" t="s">
        <v>83</v>
      </c>
      <c r="B18" s="130"/>
      <c r="C18" s="131"/>
      <c r="D18" s="132">
        <f>SUM(D17+C10)</f>
        <v>1226000</v>
      </c>
      <c r="E18" s="133"/>
      <c r="F18" s="133"/>
      <c r="G18" s="134"/>
      <c r="H18" s="48"/>
    </row>
    <row r="19" spans="1:12" s="46" customFormat="1" ht="23.25" customHeight="1">
      <c r="A19" s="129" t="s">
        <v>88</v>
      </c>
      <c r="B19" s="130"/>
      <c r="C19" s="131"/>
      <c r="D19" s="147">
        <f>SUM(D18/3)</f>
        <v>408666.66666666669</v>
      </c>
      <c r="E19" s="148"/>
      <c r="F19" s="148"/>
      <c r="G19" s="149"/>
      <c r="H19" s="48"/>
    </row>
    <row r="20" spans="1:12" s="46" customFormat="1" ht="23.25" customHeight="1">
      <c r="A20" s="129" t="s">
        <v>89</v>
      </c>
      <c r="B20" s="130"/>
      <c r="C20" s="131"/>
      <c r="D20" s="147">
        <f>SUM(D18/6)</f>
        <v>204333.33333333334</v>
      </c>
      <c r="E20" s="148"/>
      <c r="F20" s="148"/>
      <c r="G20" s="149"/>
      <c r="H20" s="48"/>
    </row>
    <row r="21" spans="1:12" s="46" customFormat="1" ht="23.25" customHeight="1">
      <c r="A21" s="129" t="s">
        <v>90</v>
      </c>
      <c r="B21" s="130"/>
      <c r="C21" s="131"/>
      <c r="D21" s="147">
        <f>SUM(D17/D10)</f>
        <v>363000</v>
      </c>
      <c r="E21" s="148"/>
      <c r="F21" s="148"/>
      <c r="G21" s="149"/>
      <c r="H21" s="48"/>
    </row>
    <row r="22" spans="1:12" s="46" customFormat="1" ht="23.25" customHeight="1">
      <c r="A22" s="135" t="s">
        <v>91</v>
      </c>
      <c r="B22" s="136"/>
      <c r="C22" s="136"/>
      <c r="D22" s="136"/>
      <c r="E22" s="136"/>
      <c r="F22" s="136"/>
      <c r="G22" s="137"/>
      <c r="H22" s="48"/>
    </row>
    <row r="23" spans="1:12" s="46" customFormat="1" ht="16.5" customHeight="1">
      <c r="A23" s="55"/>
      <c r="B23" s="119"/>
      <c r="C23" s="119"/>
      <c r="D23" s="119"/>
      <c r="E23" s="119"/>
      <c r="F23" s="119"/>
      <c r="G23" s="54"/>
      <c r="I23" s="52"/>
    </row>
    <row r="24" spans="1:12" s="46" customFormat="1" ht="16.5" customHeight="1">
      <c r="A24" s="64" t="s">
        <v>6</v>
      </c>
      <c r="B24" s="92"/>
      <c r="C24" s="92"/>
      <c r="D24" s="92"/>
      <c r="E24" s="92"/>
      <c r="F24" s="92"/>
      <c r="G24" s="54"/>
      <c r="I24" s="52"/>
    </row>
    <row r="25" spans="1:12" s="46" customFormat="1" ht="16.5" customHeight="1">
      <c r="A25" s="55" t="s">
        <v>0</v>
      </c>
      <c r="B25" s="92"/>
      <c r="C25" s="92"/>
      <c r="D25" s="92"/>
      <c r="E25" s="92"/>
      <c r="F25" s="92"/>
      <c r="G25" s="54"/>
    </row>
    <row r="26" spans="1:12" s="46" customFormat="1" ht="16.5" customHeight="1">
      <c r="A26" s="55" t="s">
        <v>54</v>
      </c>
      <c r="B26" s="92"/>
      <c r="C26" s="92"/>
      <c r="D26" s="92"/>
      <c r="E26" s="92"/>
      <c r="F26" s="92"/>
      <c r="G26" s="54"/>
    </row>
    <row r="27" spans="1:12" s="46" customFormat="1" ht="16.5" customHeight="1">
      <c r="A27" s="55" t="s">
        <v>56</v>
      </c>
      <c r="B27" s="56"/>
      <c r="C27" s="56"/>
      <c r="D27" s="57"/>
      <c r="E27" s="57"/>
      <c r="F27" s="58"/>
      <c r="G27" s="59"/>
      <c r="I27" s="48"/>
      <c r="J27" s="48"/>
      <c r="K27" s="48"/>
      <c r="L27" s="48"/>
    </row>
    <row r="28" spans="1:12" s="46" customFormat="1" ht="16.5" customHeight="1">
      <c r="A28" s="55"/>
      <c r="B28" s="56"/>
      <c r="C28" s="56"/>
      <c r="D28" s="57"/>
      <c r="E28" s="57"/>
      <c r="F28" s="58"/>
      <c r="G28" s="59"/>
      <c r="I28" s="48"/>
      <c r="J28" s="48"/>
      <c r="K28" s="48"/>
      <c r="L28" s="48"/>
    </row>
    <row r="29" spans="1:12" s="46" customFormat="1" ht="16.5" customHeight="1">
      <c r="A29" s="64" t="s">
        <v>57</v>
      </c>
      <c r="B29" s="60"/>
      <c r="C29" s="60"/>
      <c r="D29" s="61"/>
      <c r="E29" s="61"/>
      <c r="F29" s="61"/>
      <c r="G29" s="62"/>
      <c r="I29" s="48"/>
      <c r="J29" s="48"/>
      <c r="K29" s="48"/>
      <c r="L29" s="48"/>
    </row>
    <row r="30" spans="1:12" s="46" customFormat="1" ht="16.5" customHeight="1">
      <c r="A30" s="55" t="s">
        <v>10</v>
      </c>
      <c r="B30" s="63"/>
      <c r="C30" s="63"/>
      <c r="D30" s="61"/>
      <c r="E30" s="61"/>
      <c r="F30" s="61"/>
      <c r="G30" s="62"/>
      <c r="I30" s="48"/>
      <c r="J30" s="48"/>
      <c r="K30" s="48"/>
      <c r="L30" s="48"/>
    </row>
    <row r="31" spans="1:12" s="46" customFormat="1" ht="16.5" customHeight="1">
      <c r="A31" s="55" t="s">
        <v>11</v>
      </c>
      <c r="B31" s="63"/>
      <c r="C31" s="63"/>
      <c r="D31" s="61"/>
      <c r="E31" s="61"/>
      <c r="F31" s="61"/>
      <c r="G31" s="62"/>
      <c r="I31" s="48"/>
      <c r="J31" s="48"/>
      <c r="K31" s="48"/>
      <c r="L31" s="48"/>
    </row>
    <row r="32" spans="1:12" s="46" customFormat="1" ht="16.5" customHeight="1">
      <c r="A32" s="64" t="s">
        <v>33</v>
      </c>
      <c r="B32" s="65"/>
      <c r="C32" s="65"/>
      <c r="D32" s="61"/>
      <c r="E32" s="61"/>
      <c r="F32" s="61"/>
      <c r="G32" s="62"/>
      <c r="I32" s="48"/>
      <c r="J32" s="48"/>
      <c r="K32" s="48"/>
      <c r="L32" s="48"/>
    </row>
    <row r="33" spans="1:12" s="46" customFormat="1" ht="16.5" customHeight="1">
      <c r="A33" s="55" t="s">
        <v>12</v>
      </c>
      <c r="B33" s="66"/>
      <c r="C33" s="66"/>
      <c r="D33" s="61"/>
      <c r="E33" s="61"/>
      <c r="F33" s="61"/>
      <c r="G33" s="62"/>
      <c r="I33" s="48"/>
      <c r="J33" s="48"/>
      <c r="K33" s="48"/>
      <c r="L33" s="48"/>
    </row>
    <row r="34" spans="1:12" s="46" customFormat="1" ht="16.5" customHeight="1">
      <c r="A34" s="55" t="s">
        <v>55</v>
      </c>
      <c r="B34" s="66"/>
      <c r="C34" s="66"/>
      <c r="D34" s="61"/>
      <c r="E34" s="61"/>
      <c r="F34" s="61"/>
      <c r="G34" s="62"/>
      <c r="I34" s="48"/>
      <c r="J34" s="48"/>
      <c r="K34" s="48"/>
      <c r="L34" s="48"/>
    </row>
    <row r="35" spans="1:12" s="46" customFormat="1">
      <c r="A35" s="55" t="s">
        <v>13</v>
      </c>
      <c r="B35" s="67"/>
      <c r="C35" s="67"/>
      <c r="D35" s="61"/>
      <c r="E35" s="61"/>
      <c r="F35" s="61"/>
      <c r="G35" s="62"/>
      <c r="I35" s="48"/>
      <c r="J35" s="48"/>
      <c r="K35" s="48"/>
      <c r="L35" s="48"/>
    </row>
  </sheetData>
  <mergeCells count="34">
    <mergeCell ref="D18:G18"/>
    <mergeCell ref="E14:G14"/>
    <mergeCell ref="B15:C15"/>
    <mergeCell ref="E15:G15"/>
    <mergeCell ref="A16:C16"/>
    <mergeCell ref="D16:G16"/>
    <mergeCell ref="A17:C17"/>
    <mergeCell ref="D17:G17"/>
    <mergeCell ref="A13:A15"/>
    <mergeCell ref="B13:C13"/>
    <mergeCell ref="E13:G13"/>
    <mergeCell ref="B14:C14"/>
    <mergeCell ref="A18:C18"/>
    <mergeCell ref="F10:G10"/>
    <mergeCell ref="F11:G11"/>
    <mergeCell ref="A12:C12"/>
    <mergeCell ref="E12:G12"/>
    <mergeCell ref="B9:C9"/>
    <mergeCell ref="F9:G9"/>
    <mergeCell ref="A1:G3"/>
    <mergeCell ref="F4:G4"/>
    <mergeCell ref="B7:C7"/>
    <mergeCell ref="F7:G7"/>
    <mergeCell ref="A8:A9"/>
    <mergeCell ref="B8:C8"/>
    <mergeCell ref="F8:G8"/>
    <mergeCell ref="A22:G22"/>
    <mergeCell ref="B23:F23"/>
    <mergeCell ref="A19:C19"/>
    <mergeCell ref="D19:G19"/>
    <mergeCell ref="A20:C20"/>
    <mergeCell ref="D20:G20"/>
    <mergeCell ref="A21:C21"/>
    <mergeCell ref="D21:G21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L44"/>
  <sheetViews>
    <sheetView view="pageBreakPreview" zoomScaleNormal="100" zoomScaleSheetLayoutView="100" workbookViewId="0">
      <selection activeCell="B8" sqref="B8:C8"/>
    </sheetView>
  </sheetViews>
  <sheetFormatPr defaultColWidth="8.88671875" defaultRowHeight="13.5"/>
  <cols>
    <col min="1" max="1" width="8.88671875" style="46"/>
    <col min="2" max="2" width="29.21875" style="46" customWidth="1"/>
    <col min="3" max="3" width="14.5546875" style="46" customWidth="1"/>
    <col min="4" max="4" width="11.6640625" style="46" bestFit="1" customWidth="1"/>
    <col min="5" max="5" width="10.77734375" style="46" customWidth="1"/>
    <col min="6" max="6" width="8.109375" style="46" customWidth="1"/>
    <col min="7" max="7" width="10.5546875" style="46" customWidth="1"/>
    <col min="8" max="8" width="5.6640625" style="46" customWidth="1"/>
    <col min="9" max="9" width="21.6640625" style="48" bestFit="1" customWidth="1"/>
    <col min="10" max="10" width="19.44140625" style="48" bestFit="1" customWidth="1"/>
    <col min="11" max="11" width="20" style="48" bestFit="1" customWidth="1"/>
    <col min="12" max="12" width="19.44140625" style="48" bestFit="1" customWidth="1"/>
    <col min="13" max="16384" width="8.88671875" style="46"/>
  </cols>
  <sheetData>
    <row r="1" spans="1:12" ht="13.5" customHeight="1">
      <c r="A1" s="97" t="s">
        <v>36</v>
      </c>
      <c r="B1" s="98"/>
      <c r="C1" s="98"/>
      <c r="D1" s="98"/>
      <c r="E1" s="98"/>
      <c r="F1" s="98"/>
      <c r="G1" s="99"/>
    </row>
    <row r="2" spans="1:12" ht="13.5" customHeight="1">
      <c r="A2" s="100"/>
      <c r="B2" s="101"/>
      <c r="C2" s="101"/>
      <c r="D2" s="101"/>
      <c r="E2" s="101"/>
      <c r="F2" s="101"/>
      <c r="G2" s="102"/>
    </row>
    <row r="3" spans="1:12" ht="13.5" customHeight="1">
      <c r="A3" s="100"/>
      <c r="B3" s="101"/>
      <c r="C3" s="101"/>
      <c r="D3" s="101"/>
      <c r="E3" s="101"/>
      <c r="F3" s="101"/>
      <c r="G3" s="102"/>
    </row>
    <row r="4" spans="1:12" ht="27" customHeight="1">
      <c r="A4" s="79"/>
      <c r="B4" s="80"/>
      <c r="C4" s="76"/>
      <c r="D4" s="72"/>
      <c r="E4" s="73"/>
      <c r="F4" s="103"/>
      <c r="G4" s="104"/>
    </row>
    <row r="5" spans="1:12" ht="27" customHeight="1">
      <c r="A5" s="79"/>
      <c r="B5" s="80"/>
      <c r="C5" s="82" t="s">
        <v>16</v>
      </c>
      <c r="D5" s="83">
        <f ca="1">TODAY()</f>
        <v>46031</v>
      </c>
      <c r="E5" s="84" t="s">
        <v>18</v>
      </c>
      <c r="F5" s="75" t="s">
        <v>129</v>
      </c>
      <c r="G5" s="78"/>
    </row>
    <row r="6" spans="1:12" ht="19.5" customHeight="1">
      <c r="A6" s="74" t="s">
        <v>47</v>
      </c>
      <c r="B6" s="75"/>
      <c r="C6" s="76"/>
      <c r="D6" s="77"/>
      <c r="E6" s="82" t="s">
        <v>17</v>
      </c>
      <c r="F6" s="75" t="s">
        <v>130</v>
      </c>
      <c r="G6" s="81"/>
    </row>
    <row r="7" spans="1:12" ht="19.5" customHeight="1">
      <c r="A7" s="50" t="s">
        <v>8</v>
      </c>
      <c r="B7" s="105" t="s">
        <v>1</v>
      </c>
      <c r="C7" s="106"/>
      <c r="D7" s="47" t="s">
        <v>2</v>
      </c>
      <c r="E7" s="47" t="s">
        <v>19</v>
      </c>
      <c r="F7" s="105" t="s">
        <v>7</v>
      </c>
      <c r="G7" s="107"/>
      <c r="I7" s="6"/>
      <c r="J7" s="7"/>
      <c r="K7" s="51"/>
      <c r="L7" s="51"/>
    </row>
    <row r="8" spans="1:12" ht="19.5" customHeight="1">
      <c r="A8" s="120" t="s">
        <v>119</v>
      </c>
      <c r="B8" s="109" t="s">
        <v>37</v>
      </c>
      <c r="C8" s="110"/>
      <c r="D8" s="44" t="s">
        <v>123</v>
      </c>
      <c r="E8" s="71" t="s">
        <v>128</v>
      </c>
      <c r="F8" s="111">
        <v>400000</v>
      </c>
      <c r="G8" s="112"/>
      <c r="I8" s="6"/>
      <c r="J8" s="7"/>
      <c r="K8" s="51"/>
      <c r="L8" s="51"/>
    </row>
    <row r="9" spans="1:12" ht="19.5" customHeight="1">
      <c r="A9" s="108"/>
      <c r="B9" s="109" t="s">
        <v>38</v>
      </c>
      <c r="C9" s="110"/>
      <c r="D9" s="44" t="s">
        <v>124</v>
      </c>
      <c r="E9" s="71" t="s">
        <v>128</v>
      </c>
      <c r="F9" s="111">
        <v>400000</v>
      </c>
      <c r="G9" s="112"/>
      <c r="I9" s="6"/>
      <c r="J9" s="7"/>
      <c r="K9" s="51"/>
      <c r="L9" s="51"/>
    </row>
    <row r="10" spans="1:12" ht="19.5" customHeight="1">
      <c r="A10" s="108"/>
      <c r="B10" s="109" t="s">
        <v>39</v>
      </c>
      <c r="C10" s="110"/>
      <c r="D10" s="44" t="s">
        <v>123</v>
      </c>
      <c r="E10" s="71" t="s">
        <v>128</v>
      </c>
      <c r="F10" s="111">
        <v>400000</v>
      </c>
      <c r="G10" s="112"/>
      <c r="I10" s="6"/>
      <c r="J10" s="7"/>
      <c r="K10" s="51"/>
      <c r="L10" s="51"/>
    </row>
    <row r="11" spans="1:12" ht="19.5" customHeight="1">
      <c r="A11" s="108"/>
      <c r="B11" s="109" t="s">
        <v>40</v>
      </c>
      <c r="C11" s="110"/>
      <c r="D11" s="44" t="s">
        <v>125</v>
      </c>
      <c r="E11" s="71" t="s">
        <v>128</v>
      </c>
      <c r="F11" s="111">
        <v>400000</v>
      </c>
      <c r="G11" s="112"/>
      <c r="I11" s="6"/>
      <c r="J11" s="7"/>
      <c r="K11" s="51"/>
      <c r="L11" s="51"/>
    </row>
    <row r="12" spans="1:12" ht="19.5" customHeight="1">
      <c r="A12" s="108"/>
      <c r="B12" s="109" t="s">
        <v>41</v>
      </c>
      <c r="C12" s="110"/>
      <c r="D12" s="44" t="s">
        <v>123</v>
      </c>
      <c r="E12" s="71" t="s">
        <v>128</v>
      </c>
      <c r="F12" s="111">
        <v>400000</v>
      </c>
      <c r="G12" s="112"/>
      <c r="I12" s="6"/>
      <c r="J12" s="7"/>
      <c r="K12" s="51"/>
      <c r="L12" s="51"/>
    </row>
    <row r="13" spans="1:12" ht="19.5" customHeight="1">
      <c r="A13" s="108"/>
      <c r="B13" s="109" t="s">
        <v>42</v>
      </c>
      <c r="C13" s="110"/>
      <c r="D13" s="44" t="s">
        <v>123</v>
      </c>
      <c r="E13" s="71" t="s">
        <v>128</v>
      </c>
      <c r="F13" s="111">
        <v>400000</v>
      </c>
      <c r="G13" s="112"/>
      <c r="I13" s="6"/>
      <c r="J13" s="7"/>
      <c r="K13" s="51"/>
      <c r="L13" s="51"/>
    </row>
    <row r="14" spans="1:12" ht="19.5" customHeight="1">
      <c r="A14" s="108"/>
      <c r="B14" s="109" t="s">
        <v>121</v>
      </c>
      <c r="C14" s="110"/>
      <c r="D14" s="44" t="s">
        <v>123</v>
      </c>
      <c r="E14" s="71" t="s">
        <v>128</v>
      </c>
      <c r="F14" s="111">
        <v>400000</v>
      </c>
      <c r="G14" s="112"/>
      <c r="I14" s="6"/>
      <c r="J14" s="7"/>
      <c r="K14" s="51"/>
      <c r="L14" s="51"/>
    </row>
    <row r="15" spans="1:12" ht="19.5" customHeight="1">
      <c r="A15" s="108"/>
      <c r="B15" s="109" t="s">
        <v>122</v>
      </c>
      <c r="C15" s="110"/>
      <c r="D15" s="44" t="s">
        <v>123</v>
      </c>
      <c r="E15" s="71" t="s">
        <v>128</v>
      </c>
      <c r="F15" s="111">
        <v>400000</v>
      </c>
      <c r="G15" s="112"/>
      <c r="I15" s="6"/>
      <c r="J15" s="7"/>
      <c r="K15" s="51"/>
      <c r="L15" s="51"/>
    </row>
    <row r="16" spans="1:12" ht="19.5" customHeight="1">
      <c r="A16" s="108"/>
      <c r="B16" s="109" t="s">
        <v>79</v>
      </c>
      <c r="C16" s="110"/>
      <c r="D16" s="44" t="s">
        <v>123</v>
      </c>
      <c r="E16" s="71" t="s">
        <v>128</v>
      </c>
      <c r="F16" s="111">
        <v>400000</v>
      </c>
      <c r="G16" s="112"/>
      <c r="I16" s="6"/>
      <c r="J16" s="7"/>
      <c r="K16" s="51"/>
      <c r="L16" s="51"/>
    </row>
    <row r="17" spans="1:12" ht="19.5" customHeight="1">
      <c r="A17" s="108"/>
      <c r="B17" s="109" t="s">
        <v>126</v>
      </c>
      <c r="C17" s="110"/>
      <c r="D17" s="44" t="s">
        <v>123</v>
      </c>
      <c r="E17" s="71" t="s">
        <v>128</v>
      </c>
      <c r="F17" s="111">
        <v>400000</v>
      </c>
      <c r="G17" s="112"/>
      <c r="I17" s="6"/>
      <c r="J17" s="7"/>
      <c r="K17" s="51"/>
      <c r="L17" s="51"/>
    </row>
    <row r="18" spans="1:12" ht="19.5" customHeight="1">
      <c r="A18" s="108"/>
      <c r="B18" s="109" t="s">
        <v>127</v>
      </c>
      <c r="C18" s="110"/>
      <c r="D18" s="44" t="s">
        <v>123</v>
      </c>
      <c r="E18" s="71" t="s">
        <v>128</v>
      </c>
      <c r="F18" s="111">
        <v>400000</v>
      </c>
      <c r="G18" s="112"/>
      <c r="I18" s="6"/>
      <c r="J18" s="7"/>
      <c r="K18" s="51"/>
      <c r="L18" s="51"/>
    </row>
    <row r="19" spans="1:12" ht="33.6" customHeight="1">
      <c r="A19" s="93" t="s">
        <v>85</v>
      </c>
      <c r="B19" s="94" t="s">
        <v>84</v>
      </c>
      <c r="C19" s="95">
        <v>500000</v>
      </c>
      <c r="D19" s="86">
        <f>SUM(D8:D18)</f>
        <v>0</v>
      </c>
      <c r="E19" s="88" t="s">
        <v>9</v>
      </c>
      <c r="F19" s="150">
        <f>SUM(F8:G18)</f>
        <v>4400000</v>
      </c>
      <c r="G19" s="116"/>
      <c r="I19" s="46"/>
      <c r="J19" s="46"/>
      <c r="K19" s="46"/>
      <c r="L19" s="46"/>
    </row>
    <row r="20" spans="1:12" ht="19.5" customHeight="1">
      <c r="A20" s="49" t="s">
        <v>52</v>
      </c>
      <c r="B20" s="90"/>
      <c r="C20" s="91"/>
      <c r="D20" s="56"/>
      <c r="E20" s="56"/>
      <c r="F20" s="119"/>
      <c r="G20" s="122"/>
      <c r="I20" s="46"/>
      <c r="J20" s="46"/>
      <c r="K20" s="46"/>
      <c r="L20" s="46"/>
    </row>
    <row r="21" spans="1:12" ht="19.5" customHeight="1">
      <c r="A21" s="113" t="s">
        <v>3</v>
      </c>
      <c r="B21" s="114"/>
      <c r="C21" s="106"/>
      <c r="D21" s="47" t="s">
        <v>4</v>
      </c>
      <c r="E21" s="123" t="s">
        <v>5</v>
      </c>
      <c r="F21" s="124"/>
      <c r="G21" s="125"/>
    </row>
    <row r="22" spans="1:12" ht="19.5" customHeight="1">
      <c r="A22" s="120" t="s">
        <v>20</v>
      </c>
      <c r="B22" s="138" t="s">
        <v>72</v>
      </c>
      <c r="C22" s="139"/>
      <c r="D22" s="85">
        <v>0.15</v>
      </c>
      <c r="E22" s="126">
        <f>F19*D22</f>
        <v>660000</v>
      </c>
      <c r="F22" s="126"/>
      <c r="G22" s="127"/>
    </row>
    <row r="23" spans="1:12" ht="19.5" customHeight="1">
      <c r="A23" s="108"/>
      <c r="B23" s="138" t="s">
        <v>35</v>
      </c>
      <c r="C23" s="140"/>
      <c r="D23" s="53">
        <v>0.1</v>
      </c>
      <c r="E23" s="128">
        <f>(F19*(1-D22)*D23)</f>
        <v>374000</v>
      </c>
      <c r="F23" s="126"/>
      <c r="G23" s="127"/>
      <c r="H23" s="48"/>
      <c r="I23" s="6"/>
      <c r="J23" s="7"/>
      <c r="K23" s="51"/>
      <c r="L23" s="51"/>
    </row>
    <row r="24" spans="1:12" ht="19.5" customHeight="1">
      <c r="A24" s="121"/>
      <c r="B24" s="138" t="s">
        <v>34</v>
      </c>
      <c r="C24" s="140"/>
      <c r="D24" s="45">
        <v>0.05</v>
      </c>
      <c r="E24" s="126">
        <f>(F19*(1-D22)*(1-D23)*D24)</f>
        <v>168300</v>
      </c>
      <c r="F24" s="126"/>
      <c r="G24" s="127"/>
      <c r="H24" s="48"/>
      <c r="I24" s="6"/>
      <c r="J24" s="7"/>
      <c r="K24" s="51"/>
      <c r="L24" s="51"/>
    </row>
    <row r="25" spans="1:12" ht="23.25" customHeight="1">
      <c r="A25" s="141" t="s">
        <v>46</v>
      </c>
      <c r="B25" s="142"/>
      <c r="C25" s="143"/>
      <c r="D25" s="144">
        <f>ROUNDUP(SUM(E22:G24),-3)</f>
        <v>1203000</v>
      </c>
      <c r="E25" s="145"/>
      <c r="F25" s="145"/>
      <c r="G25" s="146"/>
      <c r="H25" s="48"/>
      <c r="I25" s="46"/>
      <c r="J25" s="46"/>
      <c r="K25" s="46"/>
      <c r="L25" s="46"/>
    </row>
    <row r="26" spans="1:12" ht="23.25" customHeight="1">
      <c r="A26" s="129" t="s">
        <v>51</v>
      </c>
      <c r="B26" s="130"/>
      <c r="C26" s="131"/>
      <c r="D26" s="132">
        <f>F19-D25</f>
        <v>3197000</v>
      </c>
      <c r="E26" s="133"/>
      <c r="F26" s="133"/>
      <c r="G26" s="134"/>
      <c r="H26" s="48"/>
      <c r="I26" s="46"/>
      <c r="J26" s="46"/>
      <c r="K26" s="46"/>
      <c r="L26" s="46"/>
    </row>
    <row r="27" spans="1:12" ht="23.25" customHeight="1">
      <c r="A27" s="129" t="s">
        <v>83</v>
      </c>
      <c r="B27" s="130"/>
      <c r="C27" s="131"/>
      <c r="D27" s="132">
        <f>SUM(D26+C19)</f>
        <v>3697000</v>
      </c>
      <c r="E27" s="133"/>
      <c r="F27" s="133"/>
      <c r="G27" s="134"/>
      <c r="H27" s="48"/>
      <c r="I27" s="46"/>
      <c r="J27" s="46"/>
      <c r="K27" s="46"/>
      <c r="L27" s="46"/>
    </row>
    <row r="28" spans="1:12" ht="23.25" customHeight="1">
      <c r="A28" s="129" t="s">
        <v>88</v>
      </c>
      <c r="B28" s="130"/>
      <c r="C28" s="131"/>
      <c r="D28" s="147">
        <f>SUM(D27/3)</f>
        <v>1232333.3333333333</v>
      </c>
      <c r="E28" s="148"/>
      <c r="F28" s="148"/>
      <c r="G28" s="149"/>
      <c r="H28" s="48"/>
      <c r="I28" s="46"/>
      <c r="J28" s="46"/>
      <c r="K28" s="46"/>
      <c r="L28" s="46"/>
    </row>
    <row r="29" spans="1:12" ht="23.25" customHeight="1">
      <c r="A29" s="129" t="s">
        <v>89</v>
      </c>
      <c r="B29" s="130"/>
      <c r="C29" s="131"/>
      <c r="D29" s="147">
        <f>SUM(D27/6)</f>
        <v>616166.66666666663</v>
      </c>
      <c r="E29" s="148"/>
      <c r="F29" s="148"/>
      <c r="G29" s="149"/>
      <c r="H29" s="48"/>
      <c r="I29" s="46"/>
      <c r="J29" s="46"/>
      <c r="K29" s="46"/>
      <c r="L29" s="46"/>
    </row>
    <row r="30" spans="1:12" ht="23.25" customHeight="1">
      <c r="A30" s="129" t="s">
        <v>90</v>
      </c>
      <c r="B30" s="130"/>
      <c r="C30" s="131"/>
      <c r="D30" s="147" t="e">
        <f>SUM(D26/D19)</f>
        <v>#DIV/0!</v>
      </c>
      <c r="E30" s="148"/>
      <c r="F30" s="148"/>
      <c r="G30" s="149"/>
      <c r="H30" s="48"/>
      <c r="I30" s="46"/>
      <c r="J30" s="46"/>
      <c r="K30" s="46"/>
      <c r="L30" s="46"/>
    </row>
    <row r="31" spans="1:12" ht="23.25" customHeight="1">
      <c r="A31" s="135" t="s">
        <v>91</v>
      </c>
      <c r="B31" s="136"/>
      <c r="C31" s="136"/>
      <c r="D31" s="136"/>
      <c r="E31" s="136"/>
      <c r="F31" s="136"/>
      <c r="G31" s="137"/>
      <c r="H31" s="48"/>
      <c r="I31" s="46"/>
      <c r="J31" s="46"/>
      <c r="K31" s="46"/>
      <c r="L31" s="46"/>
    </row>
    <row r="32" spans="1:12" ht="16.5" customHeight="1">
      <c r="A32" s="55"/>
      <c r="B32" s="119"/>
      <c r="C32" s="119"/>
      <c r="D32" s="119"/>
      <c r="E32" s="119"/>
      <c r="F32" s="119"/>
      <c r="G32" s="54"/>
      <c r="I32" s="52"/>
      <c r="J32" s="46"/>
      <c r="K32" s="46"/>
      <c r="L32" s="46"/>
    </row>
    <row r="33" spans="1:12" ht="16.5" customHeight="1">
      <c r="A33" s="64" t="s">
        <v>6</v>
      </c>
      <c r="B33" s="96"/>
      <c r="C33" s="96"/>
      <c r="D33" s="96"/>
      <c r="E33" s="96"/>
      <c r="F33" s="96"/>
      <c r="G33" s="54"/>
      <c r="I33" s="52"/>
      <c r="J33" s="46"/>
      <c r="K33" s="46"/>
      <c r="L33" s="46"/>
    </row>
    <row r="34" spans="1:12" ht="16.5" customHeight="1">
      <c r="A34" s="55" t="s">
        <v>0</v>
      </c>
      <c r="B34" s="96"/>
      <c r="C34" s="96"/>
      <c r="D34" s="96"/>
      <c r="E34" s="96"/>
      <c r="F34" s="96"/>
      <c r="G34" s="54"/>
      <c r="I34" s="46"/>
      <c r="J34" s="46"/>
      <c r="K34" s="46"/>
      <c r="L34" s="46"/>
    </row>
    <row r="35" spans="1:12" ht="16.5" customHeight="1">
      <c r="A35" s="55" t="s">
        <v>54</v>
      </c>
      <c r="B35" s="96"/>
      <c r="C35" s="96"/>
      <c r="D35" s="96"/>
      <c r="E35" s="96"/>
      <c r="F35" s="96"/>
      <c r="G35" s="54"/>
      <c r="I35" s="46"/>
      <c r="J35" s="46"/>
      <c r="K35" s="46"/>
      <c r="L35" s="46"/>
    </row>
    <row r="36" spans="1:12" ht="16.5" customHeight="1">
      <c r="A36" s="55" t="s">
        <v>56</v>
      </c>
      <c r="B36" s="56"/>
      <c r="C36" s="56"/>
      <c r="D36" s="57"/>
      <c r="E36" s="57"/>
      <c r="F36" s="58"/>
      <c r="G36" s="59"/>
    </row>
    <row r="37" spans="1:12" ht="16.5" customHeight="1">
      <c r="A37" s="55"/>
      <c r="B37" s="56"/>
      <c r="C37" s="56"/>
      <c r="D37" s="57"/>
      <c r="E37" s="57"/>
      <c r="F37" s="58"/>
      <c r="G37" s="59"/>
    </row>
    <row r="38" spans="1:12" ht="16.5" customHeight="1">
      <c r="A38" s="64" t="s">
        <v>57</v>
      </c>
      <c r="B38" s="60"/>
      <c r="C38" s="60"/>
      <c r="D38" s="61"/>
      <c r="E38" s="61"/>
      <c r="F38" s="61"/>
      <c r="G38" s="62"/>
    </row>
    <row r="39" spans="1:12" ht="16.5" customHeight="1">
      <c r="A39" s="55" t="s">
        <v>10</v>
      </c>
      <c r="B39" s="63"/>
      <c r="C39" s="63"/>
      <c r="D39" s="61"/>
      <c r="E39" s="61"/>
      <c r="F39" s="61"/>
      <c r="G39" s="62"/>
    </row>
    <row r="40" spans="1:12" ht="16.5" customHeight="1">
      <c r="A40" s="55" t="s">
        <v>11</v>
      </c>
      <c r="B40" s="63"/>
      <c r="C40" s="63"/>
      <c r="D40" s="61"/>
      <c r="E40" s="61"/>
      <c r="F40" s="61"/>
      <c r="G40" s="62"/>
    </row>
    <row r="41" spans="1:12" ht="16.5" customHeight="1">
      <c r="A41" s="64" t="s">
        <v>33</v>
      </c>
      <c r="B41" s="65"/>
      <c r="C41" s="65"/>
      <c r="D41" s="61"/>
      <c r="E41" s="61"/>
      <c r="F41" s="61"/>
      <c r="G41" s="62"/>
    </row>
    <row r="42" spans="1:12" ht="16.5" customHeight="1">
      <c r="A42" s="55" t="s">
        <v>12</v>
      </c>
      <c r="B42" s="66"/>
      <c r="C42" s="66"/>
      <c r="D42" s="61"/>
      <c r="E42" s="61"/>
      <c r="F42" s="61"/>
      <c r="G42" s="62"/>
    </row>
    <row r="43" spans="1:12" ht="16.5" customHeight="1">
      <c r="A43" s="55" t="s">
        <v>55</v>
      </c>
      <c r="B43" s="66"/>
      <c r="C43" s="66"/>
      <c r="D43" s="61"/>
      <c r="E43" s="61"/>
      <c r="F43" s="61"/>
      <c r="G43" s="62"/>
    </row>
    <row r="44" spans="1:12">
      <c r="A44" s="55" t="s">
        <v>13</v>
      </c>
      <c r="B44" s="67"/>
      <c r="C44" s="67"/>
      <c r="D44" s="61"/>
      <c r="E44" s="61"/>
      <c r="F44" s="61"/>
      <c r="G44" s="62"/>
    </row>
  </sheetData>
  <mergeCells count="52">
    <mergeCell ref="B13:C13"/>
    <mergeCell ref="F19:G19"/>
    <mergeCell ref="A1:G3"/>
    <mergeCell ref="F4:G4"/>
    <mergeCell ref="B7:C7"/>
    <mergeCell ref="F7:G7"/>
    <mergeCell ref="A8:A18"/>
    <mergeCell ref="B8:C8"/>
    <mergeCell ref="F8:G8"/>
    <mergeCell ref="B9:C9"/>
    <mergeCell ref="F9:G9"/>
    <mergeCell ref="B10:C10"/>
    <mergeCell ref="F10:G10"/>
    <mergeCell ref="B11:C11"/>
    <mergeCell ref="F11:G11"/>
    <mergeCell ref="B12:C12"/>
    <mergeCell ref="F12:G12"/>
    <mergeCell ref="F16:G16"/>
    <mergeCell ref="B17:C17"/>
    <mergeCell ref="F17:G17"/>
    <mergeCell ref="B18:C18"/>
    <mergeCell ref="F18:G18"/>
    <mergeCell ref="F13:G13"/>
    <mergeCell ref="A21:C21"/>
    <mergeCell ref="E21:G21"/>
    <mergeCell ref="A22:A24"/>
    <mergeCell ref="B22:C22"/>
    <mergeCell ref="E22:G22"/>
    <mergeCell ref="B23:C23"/>
    <mergeCell ref="E23:G23"/>
    <mergeCell ref="B24:C24"/>
    <mergeCell ref="E24:G24"/>
    <mergeCell ref="F20:G20"/>
    <mergeCell ref="B14:C14"/>
    <mergeCell ref="F14:G14"/>
    <mergeCell ref="B15:C15"/>
    <mergeCell ref="F15:G15"/>
    <mergeCell ref="B16:C16"/>
    <mergeCell ref="A25:C25"/>
    <mergeCell ref="D25:G25"/>
    <mergeCell ref="A26:C26"/>
    <mergeCell ref="D26:G26"/>
    <mergeCell ref="A27:C27"/>
    <mergeCell ref="D27:G27"/>
    <mergeCell ref="A31:G31"/>
    <mergeCell ref="B32:F32"/>
    <mergeCell ref="A28:C28"/>
    <mergeCell ref="D28:G28"/>
    <mergeCell ref="A29:C29"/>
    <mergeCell ref="D29:G29"/>
    <mergeCell ref="A30:C30"/>
    <mergeCell ref="D30:G30"/>
  </mergeCells>
  <phoneticPr fontId="2" type="noConversion"/>
  <pageMargins left="0.7" right="0.7" top="0.75" bottom="0.75" header="0.3" footer="0.3"/>
  <pageSetup paperSize="9" scale="81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9</vt:i4>
      </vt:variant>
    </vt:vector>
  </HeadingPairs>
  <TitlesOfParts>
    <vt:vector size="18" baseType="lpstr">
      <vt:lpstr>단과과정</vt:lpstr>
      <vt:lpstr>JS풀스택</vt:lpstr>
      <vt:lpstr>스프링풀스택</vt:lpstr>
      <vt:lpstr>AI인공지능빅데이터</vt:lpstr>
      <vt:lpstr>정보보안</vt:lpstr>
      <vt:lpstr>빅데이터 자격증</vt:lpstr>
      <vt:lpstr>정처기</vt:lpstr>
      <vt:lpstr>CCNA</vt:lpstr>
      <vt:lpstr>방특 전과목</vt:lpstr>
      <vt:lpstr>AI인공지능빅데이터!Print_Area</vt:lpstr>
      <vt:lpstr>CCNA!Print_Area</vt:lpstr>
      <vt:lpstr>JS풀스택!Print_Area</vt:lpstr>
      <vt:lpstr>단과과정!Print_Area</vt:lpstr>
      <vt:lpstr>'방특 전과목'!Print_Area</vt:lpstr>
      <vt:lpstr>'빅데이터 자격증'!Print_Area</vt:lpstr>
      <vt:lpstr>스프링풀스택!Print_Area</vt:lpstr>
      <vt:lpstr>정보보안!Print_Area</vt:lpstr>
      <vt:lpstr>정처기!Print_Area</vt:lpstr>
    </vt:vector>
  </TitlesOfParts>
  <Company>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admin</cp:lastModifiedBy>
  <cp:lastPrinted>2025-02-22T03:05:16Z</cp:lastPrinted>
  <dcterms:created xsi:type="dcterms:W3CDTF">2009-05-15T06:34:19Z</dcterms:created>
  <dcterms:modified xsi:type="dcterms:W3CDTF">2026-01-10T02:41:58Z</dcterms:modified>
</cp:coreProperties>
</file>