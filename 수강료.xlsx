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등록금\"/>
    </mc:Choice>
  </mc:AlternateContent>
  <bookViews>
    <workbookView xWindow="0" yWindow="0" windowWidth="28800" windowHeight="12165"/>
  </bookViews>
  <sheets>
    <sheet name="수강료" sheetId="12" r:id="rId1"/>
    <sheet name="할인율" sheetId="7" r:id="rId2"/>
  </sheets>
  <definedNames>
    <definedName name="_xlnm.Print_Area" localSheetId="1">할인율!$B$2:$I$24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" i="12" l="1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H34" i="12"/>
  <c r="H75" i="12"/>
  <c r="H76" i="12"/>
  <c r="H20" i="12"/>
  <c r="H74" i="12" l="1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12" i="12"/>
  <c r="H11" i="12"/>
  <c r="H29" i="12" l="1"/>
  <c r="H23" i="12"/>
  <c r="H28" i="12" l="1"/>
  <c r="H35" i="12" l="1"/>
  <c r="H33" i="12"/>
  <c r="H32" i="12"/>
  <c r="H31" i="12"/>
  <c r="H30" i="12"/>
  <c r="H27" i="12"/>
  <c r="H26" i="12"/>
  <c r="H25" i="12"/>
  <c r="H24" i="12"/>
  <c r="H22" i="12"/>
  <c r="H21" i="12"/>
  <c r="H19" i="12"/>
  <c r="H18" i="12"/>
  <c r="H16" i="12"/>
  <c r="H15" i="12"/>
  <c r="H14" i="12"/>
  <c r="H13" i="12"/>
  <c r="H10" i="12"/>
  <c r="H9" i="12"/>
  <c r="H8" i="12"/>
  <c r="H7" i="12"/>
  <c r="H6" i="12"/>
</calcChain>
</file>

<file path=xl/sharedStrings.xml><?xml version="1.0" encoding="utf-8"?>
<sst xmlns="http://schemas.openxmlformats.org/spreadsheetml/2006/main" count="230" uniqueCount="166">
  <si>
    <t>기본</t>
  </si>
  <si>
    <t>무료과목</t>
  </si>
  <si>
    <t>과목할인</t>
  </si>
  <si>
    <t>1과목</t>
  </si>
  <si>
    <t>2~3과목</t>
  </si>
  <si>
    <t>4~5과목</t>
  </si>
  <si>
    <t>6~7과목</t>
  </si>
  <si>
    <t>8~이상</t>
  </si>
  <si>
    <t>구분</t>
  </si>
  <si>
    <t>학과</t>
  </si>
  <si>
    <t>학원과정명</t>
  </si>
  <si>
    <t>일반수강료</t>
  </si>
  <si>
    <t>일수</t>
  </si>
  <si>
    <t>일시간</t>
  </si>
  <si>
    <t>총시간</t>
  </si>
  <si>
    <t>주말</t>
  </si>
  <si>
    <t>에펙(방학)</t>
    <phoneticPr fontId="4" type="noConversion"/>
  </si>
  <si>
    <t>전산회계1급</t>
    <phoneticPr fontId="4" type="noConversion"/>
  </si>
  <si>
    <t>캐드/주말</t>
    <phoneticPr fontId="4" type="noConversion"/>
  </si>
  <si>
    <t>전산세무2급</t>
    <phoneticPr fontId="4" type="noConversion"/>
  </si>
  <si>
    <t>포토샵, 일러스트/주말</t>
    <phoneticPr fontId="4" type="noConversion"/>
  </si>
  <si>
    <t>포토웍스, 디일러/주말</t>
    <phoneticPr fontId="4" type="noConversion"/>
  </si>
  <si>
    <t>마야포폴1~6</t>
    <phoneticPr fontId="4" type="noConversion"/>
  </si>
  <si>
    <t>평일
매일</t>
    <phoneticPr fontId="4" type="noConversion"/>
  </si>
  <si>
    <t>모스</t>
    <phoneticPr fontId="4" type="noConversion"/>
  </si>
  <si>
    <t>평일
격일</t>
    <phoneticPr fontId="4" type="noConversion"/>
  </si>
  <si>
    <t>모스/주말</t>
    <phoneticPr fontId="4" type="noConversion"/>
  </si>
  <si>
    <t>방학
특강</t>
    <phoneticPr fontId="4" type="noConversion"/>
  </si>
  <si>
    <t>3</t>
    <phoneticPr fontId="4" type="noConversion"/>
  </si>
  <si>
    <t>컴활1급</t>
    <phoneticPr fontId="4" type="noConversion"/>
  </si>
  <si>
    <t>컴활1급/주말</t>
    <phoneticPr fontId="4" type="noConversion"/>
  </si>
  <si>
    <t>모스(방학)</t>
    <phoneticPr fontId="4" type="noConversion"/>
  </si>
  <si>
    <t>아트웍</t>
    <phoneticPr fontId="4" type="noConversion"/>
  </si>
  <si>
    <t>발상과표현</t>
    <phoneticPr fontId="4" type="noConversion"/>
  </si>
  <si>
    <t>컬러실기(산업기사)/주말</t>
    <phoneticPr fontId="4" type="noConversion"/>
  </si>
  <si>
    <t>컴활2급(방학)</t>
    <phoneticPr fontId="4" type="noConversion"/>
  </si>
  <si>
    <t>색채학</t>
    <phoneticPr fontId="4" type="noConversion"/>
  </si>
  <si>
    <t>컬러실기(기사)/주말</t>
    <phoneticPr fontId="4" type="noConversion"/>
  </si>
  <si>
    <t>컴활1급(방학)</t>
    <phoneticPr fontId="4" type="noConversion"/>
  </si>
  <si>
    <t>해부학</t>
    <phoneticPr fontId="4" type="noConversion"/>
  </si>
  <si>
    <t>포토샵, 일러스트(방학)</t>
    <phoneticPr fontId="4" type="noConversion"/>
  </si>
  <si>
    <t>1.5</t>
    <phoneticPr fontId="4" type="noConversion"/>
  </si>
  <si>
    <t>디지털드로잉1~6/주말</t>
    <phoneticPr fontId="4" type="noConversion"/>
  </si>
  <si>
    <t>포토웍스, 디일러(방학)</t>
    <phoneticPr fontId="4" type="noConversion"/>
  </si>
  <si>
    <t>디지털드로잉1~6</t>
    <phoneticPr fontId="4" type="noConversion"/>
  </si>
  <si>
    <t>인디자인(방학)</t>
    <phoneticPr fontId="4" type="noConversion"/>
  </si>
  <si>
    <t>디드포폴1~4</t>
    <phoneticPr fontId="4" type="noConversion"/>
  </si>
  <si>
    <t>캐드1~2(방학)</t>
    <phoneticPr fontId="4" type="noConversion"/>
  </si>
  <si>
    <t>포토샵, 일러스트</t>
    <phoneticPr fontId="4" type="noConversion"/>
  </si>
  <si>
    <t>스케치업1~2(방학)</t>
    <phoneticPr fontId="4" type="noConversion"/>
  </si>
  <si>
    <t>포토웍스, 디일러</t>
    <phoneticPr fontId="4" type="noConversion"/>
  </si>
  <si>
    <t>맥스1~2(방학)</t>
    <phoneticPr fontId="4" type="noConversion"/>
  </si>
  <si>
    <t>편집포폴1~2</t>
    <phoneticPr fontId="4" type="noConversion"/>
  </si>
  <si>
    <t>인디자인</t>
    <phoneticPr fontId="4" type="noConversion"/>
  </si>
  <si>
    <t>스케치업1~2/주말</t>
    <phoneticPr fontId="4" type="noConversion"/>
  </si>
  <si>
    <t>프리미어(방학)</t>
    <phoneticPr fontId="4" type="noConversion"/>
  </si>
  <si>
    <t>웹포폴1~2</t>
    <phoneticPr fontId="4" type="noConversion"/>
  </si>
  <si>
    <t>인포그래픽</t>
    <phoneticPr fontId="4" type="noConversion"/>
  </si>
  <si>
    <t>BIM1~2/주말</t>
    <phoneticPr fontId="4" type="noConversion"/>
  </si>
  <si>
    <t>캐드1~2</t>
    <phoneticPr fontId="4" type="noConversion"/>
  </si>
  <si>
    <t>그래픽아트웍</t>
    <phoneticPr fontId="4" type="noConversion"/>
  </si>
  <si>
    <t>인벤터/주말</t>
    <phoneticPr fontId="4" type="noConversion"/>
  </si>
  <si>
    <t>모션에펙(방학)</t>
    <phoneticPr fontId="4" type="noConversion"/>
  </si>
  <si>
    <t>스케치1~4</t>
    <phoneticPr fontId="4" type="noConversion"/>
  </si>
  <si>
    <t>파이썬/방학</t>
    <phoneticPr fontId="4" type="noConversion"/>
  </si>
  <si>
    <t>C언어1~2/방학</t>
    <phoneticPr fontId="4" type="noConversion"/>
  </si>
  <si>
    <t>인테리어포폴1~3</t>
    <phoneticPr fontId="4" type="noConversion"/>
  </si>
  <si>
    <t>시공실무/주말</t>
    <phoneticPr fontId="4" type="noConversion"/>
  </si>
  <si>
    <t>자바1~2/방학</t>
    <phoneticPr fontId="4" type="noConversion"/>
  </si>
  <si>
    <t>프리미어</t>
    <phoneticPr fontId="4" type="noConversion"/>
  </si>
  <si>
    <t>스케치업1~2</t>
    <phoneticPr fontId="4" type="noConversion"/>
  </si>
  <si>
    <t>전산응용건축제도/주말</t>
    <phoneticPr fontId="4" type="noConversion"/>
  </si>
  <si>
    <t>에펙</t>
    <phoneticPr fontId="4" type="noConversion"/>
  </si>
  <si>
    <t>전산응용기계제도/주말</t>
    <phoneticPr fontId="4" type="noConversion"/>
  </si>
  <si>
    <t>모션에펙</t>
    <phoneticPr fontId="4" type="noConversion"/>
  </si>
  <si>
    <t>기계설계산업기사/주말</t>
    <phoneticPr fontId="4" type="noConversion"/>
  </si>
  <si>
    <t>일반기계기사/주말</t>
    <phoneticPr fontId="4" type="noConversion"/>
  </si>
  <si>
    <t>유크리 기초/심화</t>
    <phoneticPr fontId="4" type="noConversion"/>
  </si>
  <si>
    <t>유크리 기초, 심화/주말</t>
    <phoneticPr fontId="4" type="noConversion"/>
  </si>
  <si>
    <t>에펙/주말</t>
    <phoneticPr fontId="4" type="noConversion"/>
  </si>
  <si>
    <t>에펙</t>
    <phoneticPr fontId="4" type="noConversion"/>
  </si>
  <si>
    <t>모션에펙/주말</t>
    <phoneticPr fontId="4" type="noConversion"/>
  </si>
  <si>
    <t>시포디1~4/주말</t>
    <phoneticPr fontId="4" type="noConversion"/>
  </si>
  <si>
    <t>자바1~2/주말</t>
    <phoneticPr fontId="4" type="noConversion"/>
  </si>
  <si>
    <t>추가 1</t>
    <phoneticPr fontId="3" type="noConversion"/>
  </si>
  <si>
    <t>추가 1 예시</t>
    <phoneticPr fontId="3" type="noConversion"/>
  </si>
  <si>
    <t>2과목 당 1과목 무료과목</t>
    <phoneticPr fontId="3" type="noConversion"/>
  </si>
  <si>
    <t>10% 이내 자율</t>
    <phoneticPr fontId="3" type="noConversion"/>
  </si>
  <si>
    <r>
      <rPr>
        <b/>
        <sz val="10"/>
        <color rgb="FFFF0000"/>
        <rFont val="맑은 고딕"/>
        <family val="3"/>
        <charset val="129"/>
        <scheme val="minor"/>
      </rPr>
      <t>5%, 10%,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5%+5%</t>
    </r>
    <phoneticPr fontId="3" type="noConversion"/>
  </si>
  <si>
    <t>ex) 2+1, 4+2, 12+6 등</t>
    <phoneticPr fontId="3" type="noConversion"/>
  </si>
  <si>
    <t>* 구디비 : 디비 생성일 기준 30일 이 후</t>
    <phoneticPr fontId="3" type="noConversion"/>
  </si>
  <si>
    <t>따즈아 등록 시 추가 할인</t>
    <phoneticPr fontId="3" type="noConversion"/>
  </si>
  <si>
    <t>따즈아
등록 시
추가 할인</t>
    <phoneticPr fontId="3" type="noConversion"/>
  </si>
  <si>
    <t>10만원 이내 자율</t>
    <phoneticPr fontId="3" type="noConversion"/>
  </si>
  <si>
    <t>* 규정 할인율 외 적용 시 요청메모 (원장확인완료) 기재 (원장 부재 시 팀부장 대리 확인가능)</t>
    <phoneticPr fontId="4" type="noConversion"/>
  </si>
  <si>
    <t>맥스1~3</t>
    <phoneticPr fontId="4" type="noConversion"/>
  </si>
  <si>
    <t>웹1~3</t>
    <phoneticPr fontId="4" type="noConversion"/>
  </si>
  <si>
    <t>UIUX1~3</t>
    <phoneticPr fontId="3" type="noConversion"/>
  </si>
  <si>
    <t>모션포폴1~3</t>
    <phoneticPr fontId="4" type="noConversion"/>
  </si>
  <si>
    <t>어드벤스 에펙</t>
    <phoneticPr fontId="4" type="noConversion"/>
  </si>
  <si>
    <t>AI크리에이터-아트웍</t>
    <phoneticPr fontId="4" type="noConversion"/>
  </si>
  <si>
    <t>AI크리에이터-시각편집</t>
    <phoneticPr fontId="3" type="noConversion"/>
  </si>
  <si>
    <t>실내건축이론</t>
    <phoneticPr fontId="4" type="noConversion"/>
  </si>
  <si>
    <t>실내건축자격증</t>
    <phoneticPr fontId="4" type="noConversion"/>
  </si>
  <si>
    <t>AI크리에이터-인테리어</t>
    <phoneticPr fontId="4" type="noConversion"/>
  </si>
  <si>
    <t>AI크리에이터-CG마야</t>
    <phoneticPr fontId="4" type="noConversion"/>
  </si>
  <si>
    <t>재경관리사</t>
    <phoneticPr fontId="4" type="noConversion"/>
  </si>
  <si>
    <t>AI프롬프트1~2</t>
    <phoneticPr fontId="4" type="noConversion"/>
  </si>
  <si>
    <t>웹1~3/주말</t>
    <phoneticPr fontId="4" type="noConversion"/>
  </si>
  <si>
    <t>웹디자인개발기능사/주말</t>
    <phoneticPr fontId="4" type="noConversion"/>
  </si>
  <si>
    <t>UIUX1~3/주말</t>
    <phoneticPr fontId="4" type="noConversion"/>
  </si>
  <si>
    <t>GTQ/주말</t>
    <phoneticPr fontId="3" type="noConversion"/>
  </si>
  <si>
    <t>GTQi/주말</t>
    <phoneticPr fontId="3" type="noConversion"/>
  </si>
  <si>
    <t>그래픽기능사/주말</t>
    <phoneticPr fontId="4" type="noConversion"/>
  </si>
  <si>
    <t>퓨전1~2/주말</t>
    <phoneticPr fontId="4" type="noConversion"/>
  </si>
  <si>
    <t>실내건축이론/주말</t>
    <phoneticPr fontId="4" type="noConversion"/>
  </si>
  <si>
    <t>실내건축자격증/주말</t>
    <phoneticPr fontId="4" type="noConversion"/>
  </si>
  <si>
    <t>어드벤스에펙/주말</t>
    <phoneticPr fontId="4" type="noConversion"/>
  </si>
  <si>
    <t>파이썬/주말</t>
    <phoneticPr fontId="4" type="noConversion"/>
  </si>
  <si>
    <t>C언어1~2/주말</t>
    <phoneticPr fontId="4" type="noConversion"/>
  </si>
  <si>
    <t>AI크리에이터-영상모션</t>
    <phoneticPr fontId="4" type="noConversion"/>
  </si>
  <si>
    <t>AI바이브코딩-웹</t>
    <phoneticPr fontId="3" type="noConversion"/>
  </si>
  <si>
    <t>스토리보드</t>
    <phoneticPr fontId="4" type="noConversion"/>
  </si>
  <si>
    <t>블렌더</t>
    <phoneticPr fontId="3" type="noConversion"/>
  </si>
  <si>
    <t>BIM1~2(방학)</t>
    <phoneticPr fontId="4" type="noConversion"/>
  </si>
  <si>
    <t>블렌더1~2(방학)</t>
    <phoneticPr fontId="4" type="noConversion"/>
  </si>
  <si>
    <t>컴활2급/주말</t>
    <phoneticPr fontId="4" type="noConversion"/>
  </si>
  <si>
    <t>AI크리에이터-유튜브</t>
    <phoneticPr fontId="4" type="noConversion"/>
  </si>
  <si>
    <t>시각편집</t>
  </si>
  <si>
    <t>시각편집</t>
    <phoneticPr fontId="4" type="noConversion"/>
  </si>
  <si>
    <t>자격증/OA</t>
  </si>
  <si>
    <t>자격증/OA</t>
    <phoneticPr fontId="4" type="noConversion"/>
  </si>
  <si>
    <t>건축/인테리어</t>
  </si>
  <si>
    <t>건축/인테리어</t>
    <phoneticPr fontId="4" type="noConversion"/>
  </si>
  <si>
    <t>IT/프로그래밍</t>
    <phoneticPr fontId="4" type="noConversion"/>
  </si>
  <si>
    <t>웹/웹디자인</t>
  </si>
  <si>
    <t>웹/웹디자인</t>
    <phoneticPr fontId="4" type="noConversion"/>
  </si>
  <si>
    <t>모션/영상</t>
  </si>
  <si>
    <t>모션/영상</t>
    <phoneticPr fontId="4" type="noConversion"/>
  </si>
  <si>
    <t xml:space="preserve"> AI크리에이터</t>
    <phoneticPr fontId="4" type="noConversion"/>
  </si>
  <si>
    <t>마야/CG</t>
    <phoneticPr fontId="4" type="noConversion"/>
  </si>
  <si>
    <t>스케치/주말</t>
    <phoneticPr fontId="4" type="noConversion"/>
  </si>
  <si>
    <t>1~3과목</t>
    <phoneticPr fontId="3" type="noConversion"/>
  </si>
  <si>
    <t>페북
구디비
추가등록
종강생</t>
    <phoneticPr fontId="3" type="noConversion"/>
  </si>
  <si>
    <t>추가 1</t>
    <phoneticPr fontId="3" type="noConversion"/>
  </si>
  <si>
    <t>추가 2</t>
    <phoneticPr fontId="3" type="noConversion"/>
  </si>
  <si>
    <t>C언어/방학</t>
    <phoneticPr fontId="4" type="noConversion"/>
  </si>
  <si>
    <t>공통</t>
    <phoneticPr fontId="3" type="noConversion"/>
  </si>
  <si>
    <t>대전지점 할인율 (2025. 12. 08 시행)</t>
    <phoneticPr fontId="4" type="noConversion"/>
  </si>
  <si>
    <t>4과목 이상</t>
    <phoneticPr fontId="3" type="noConversion"/>
  </si>
  <si>
    <t>리뷰 작성 시 추가 할인</t>
    <phoneticPr fontId="3" type="noConversion"/>
  </si>
  <si>
    <t>* 모든 퍼센트 할인은 5% 단위로 설정 (33%, 44% 등 불가)
* 전체 할인율 적용 시 원수강료 기준 40% 이상이 될 수 없음.
* 할인율 표기 : 견적서와 동일한 명목으로 요청메모 기재.</t>
    <phoneticPr fontId="3" type="noConversion"/>
  </si>
  <si>
    <t>리뷰 할인</t>
    <phoneticPr fontId="3" type="noConversion"/>
  </si>
  <si>
    <t>2만원 이내 자율</t>
    <phoneticPr fontId="3" type="noConversion"/>
  </si>
  <si>
    <t>* 네이버, 구글, 카카오맵 리뷰 작성, 이미지 필수
* 최대 할인 40% 기준 제외</t>
    <phoneticPr fontId="3" type="noConversion"/>
  </si>
  <si>
    <r>
      <rPr>
        <b/>
        <sz val="10"/>
        <rFont val="맑은 고딕"/>
        <family val="3"/>
        <charset val="129"/>
        <scheme val="minor"/>
      </rPr>
      <t>* 오프라인 등록금 할인율 적용 후 150만 이상 시 적용 가능</t>
    </r>
    <r>
      <rPr>
        <b/>
        <sz val="10"/>
        <color rgb="FFFF0000"/>
        <rFont val="맑은 고딕"/>
        <family val="3"/>
        <charset val="129"/>
        <scheme val="minor"/>
      </rPr>
      <t xml:space="preserve">
ex) 원수강료 250만 -&gt; 할인율 적용 후 150만 (o)
</t>
    </r>
    <r>
      <rPr>
        <b/>
        <sz val="10"/>
        <color theme="1"/>
        <rFont val="맑은 고딕"/>
        <family val="3"/>
        <charset val="129"/>
        <scheme val="minor"/>
      </rPr>
      <t>* 최대 할인 40% 기준 제외</t>
    </r>
    <phoneticPr fontId="3" type="noConversion"/>
  </si>
  <si>
    <t>컴퓨터 대전지점 수강료 교육청 신고 기준 (2026. 04. 01 수정)</t>
    <phoneticPr fontId="4" type="noConversion"/>
  </si>
  <si>
    <t>AI에이전트1-2</t>
    <phoneticPr fontId="4" type="noConversion"/>
  </si>
  <si>
    <t>블렌더1~2</t>
    <phoneticPr fontId="4" type="noConversion"/>
  </si>
  <si>
    <t>웹1~3</t>
    <phoneticPr fontId="4" type="noConversion"/>
  </si>
  <si>
    <t>시포디1~4</t>
    <phoneticPr fontId="4" type="noConversion"/>
  </si>
  <si>
    <t>시포디1~4</t>
    <phoneticPr fontId="4" type="noConversion"/>
  </si>
  <si>
    <t>마야1~7</t>
    <phoneticPr fontId="4" type="noConversion"/>
  </si>
  <si>
    <t>마야1~7</t>
    <phoneticPr fontId="4" type="noConversion"/>
  </si>
  <si>
    <t>웹툰</t>
    <phoneticPr fontId="3" type="noConversion"/>
  </si>
  <si>
    <t>웹툰1~6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</si>
</sst>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2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medium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" fillId="0" borderId="0" xfId="1">
      <alignment vertical="center"/>
    </xf>
    <xf numFmtId="0" fontId="9" fillId="5" borderId="8" xfId="0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176" fontId="7" fillId="7" borderId="8" xfId="0" applyNumberFormat="1" applyFont="1" applyFill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176" fontId="9" fillId="7" borderId="8" xfId="0" applyNumberFormat="1" applyFont="1" applyFill="1" applyBorder="1" applyAlignment="1">
      <alignment horizontal="center" vertical="center"/>
    </xf>
    <xf numFmtId="176" fontId="7" fillId="6" borderId="8" xfId="0" applyNumberFormat="1" applyFont="1" applyFill="1" applyBorder="1" applyAlignment="1">
      <alignment horizontal="center" vertical="center"/>
    </xf>
    <xf numFmtId="176" fontId="9" fillId="6" borderId="8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76" fontId="9" fillId="2" borderId="12" xfId="0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41" fontId="10" fillId="2" borderId="12" xfId="11" applyFont="1" applyFill="1" applyBorder="1" applyAlignment="1">
      <alignment horizontal="center" vertical="center"/>
    </xf>
    <xf numFmtId="176" fontId="9" fillId="2" borderId="13" xfId="0" applyNumberFormat="1" applyFont="1" applyFill="1" applyBorder="1" applyAlignment="1">
      <alignment horizontal="center" vertical="center"/>
    </xf>
    <xf numFmtId="41" fontId="10" fillId="2" borderId="8" xfId="11" applyFont="1" applyFill="1" applyBorder="1" applyAlignment="1">
      <alignment horizontal="center" vertical="center"/>
    </xf>
    <xf numFmtId="176" fontId="9" fillId="2" borderId="9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1" fontId="6" fillId="2" borderId="8" xfId="11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41" fontId="10" fillId="5" borderId="8" xfId="11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41" fontId="10" fillId="10" borderId="8" xfId="11" applyFont="1" applyFill="1" applyBorder="1" applyAlignment="1">
      <alignment horizontal="center" vertical="center"/>
    </xf>
    <xf numFmtId="176" fontId="9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7" fillId="10" borderId="9" xfId="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41" fontId="6" fillId="10" borderId="8" xfId="11" applyFont="1" applyFill="1" applyBorder="1" applyAlignment="1">
      <alignment horizontal="center" vertical="center"/>
    </xf>
    <xf numFmtId="176" fontId="7" fillId="10" borderId="8" xfId="0" applyNumberFormat="1" applyFont="1" applyFill="1" applyBorder="1" applyAlignment="1">
      <alignment horizontal="center" vertical="center"/>
    </xf>
    <xf numFmtId="49" fontId="7" fillId="10" borderId="8" xfId="0" applyNumberFormat="1" applyFont="1" applyFill="1" applyBorder="1" applyAlignment="1">
      <alignment horizontal="center" vertical="center"/>
    </xf>
    <xf numFmtId="176" fontId="9" fillId="10" borderId="9" xfId="0" applyNumberFormat="1" applyFont="1" applyFill="1" applyBorder="1" applyAlignment="1">
      <alignment horizontal="center" vertical="center"/>
    </xf>
    <xf numFmtId="41" fontId="6" fillId="6" borderId="8" xfId="11" applyFont="1" applyFill="1" applyBorder="1" applyAlignment="1">
      <alignment horizontal="center" vertical="center"/>
    </xf>
    <xf numFmtId="49" fontId="7" fillId="6" borderId="8" xfId="0" applyNumberFormat="1" applyFont="1" applyFill="1" applyBorder="1" applyAlignment="1">
      <alignment horizontal="center" vertical="center"/>
    </xf>
    <xf numFmtId="49" fontId="7" fillId="6" borderId="9" xfId="0" applyNumberFormat="1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176" fontId="9" fillId="11" borderId="8" xfId="0" applyNumberFormat="1" applyFont="1" applyFill="1" applyBorder="1" applyAlignment="1">
      <alignment horizontal="center" vertical="center"/>
    </xf>
    <xf numFmtId="176" fontId="9" fillId="11" borderId="9" xfId="0" applyNumberFormat="1" applyFont="1" applyFill="1" applyBorder="1" applyAlignment="1">
      <alignment horizontal="center" vertical="center"/>
    </xf>
    <xf numFmtId="41" fontId="10" fillId="11" borderId="8" xfId="11" applyFont="1" applyFill="1" applyBorder="1" applyAlignment="1">
      <alignment horizontal="center" vertical="center"/>
    </xf>
    <xf numFmtId="41" fontId="10" fillId="6" borderId="8" xfId="11" applyFont="1" applyFill="1" applyBorder="1" applyAlignment="1">
      <alignment horizontal="center" vertical="center"/>
    </xf>
    <xf numFmtId="176" fontId="9" fillId="6" borderId="9" xfId="0" applyNumberFormat="1" applyFont="1" applyFill="1" applyBorder="1" applyAlignment="1">
      <alignment horizontal="center" vertical="center"/>
    </xf>
    <xf numFmtId="41" fontId="6" fillId="7" borderId="8" xfId="11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41" fontId="10" fillId="12" borderId="10" xfId="11" applyFont="1" applyFill="1" applyBorder="1" applyAlignment="1">
      <alignment horizontal="center" vertical="center"/>
    </xf>
    <xf numFmtId="176" fontId="9" fillId="12" borderId="10" xfId="0" applyNumberFormat="1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41" fontId="10" fillId="12" borderId="8" xfId="11" applyFont="1" applyFill="1" applyBorder="1" applyAlignment="1">
      <alignment horizontal="center" vertical="center"/>
    </xf>
    <xf numFmtId="176" fontId="9" fillId="12" borderId="8" xfId="0" applyNumberFormat="1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41" fontId="10" fillId="7" borderId="8" xfId="11" applyFont="1" applyFill="1" applyBorder="1" applyAlignment="1">
      <alignment horizontal="center" vertical="center"/>
    </xf>
    <xf numFmtId="176" fontId="9" fillId="7" borderId="9" xfId="0" applyNumberFormat="1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41" fontId="10" fillId="13" borderId="8" xfId="11" applyFont="1" applyFill="1" applyBorder="1" applyAlignment="1">
      <alignment horizontal="center" vertical="center"/>
    </xf>
    <xf numFmtId="176" fontId="9" fillId="13" borderId="8" xfId="0" applyNumberFormat="1" applyFont="1" applyFill="1" applyBorder="1" applyAlignment="1">
      <alignment horizontal="center" vertical="center"/>
    </xf>
    <xf numFmtId="176" fontId="9" fillId="13" borderId="9" xfId="0" applyNumberFormat="1" applyFont="1" applyFill="1" applyBorder="1" applyAlignment="1">
      <alignment horizontal="center" vertical="center"/>
    </xf>
    <xf numFmtId="176" fontId="9" fillId="12" borderId="9" xfId="0" applyNumberFormat="1" applyFont="1" applyFill="1" applyBorder="1" applyAlignment="1">
      <alignment horizontal="center" vertical="center"/>
    </xf>
    <xf numFmtId="9" fontId="17" fillId="0" borderId="8" xfId="1" applyNumberFormat="1" applyFont="1" applyBorder="1" applyAlignment="1">
      <alignment horizontal="center" vertical="center"/>
    </xf>
    <xf numFmtId="9" fontId="17" fillId="0" borderId="29" xfId="1" applyNumberFormat="1" applyFont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41" fontId="10" fillId="13" borderId="10" xfId="11" applyFont="1" applyFill="1" applyBorder="1" applyAlignment="1">
      <alignment horizontal="center" vertical="center"/>
    </xf>
    <xf numFmtId="176" fontId="9" fillId="13" borderId="10" xfId="0" applyNumberFormat="1" applyFont="1" applyFill="1" applyBorder="1" applyAlignment="1">
      <alignment horizontal="center" vertical="center"/>
    </xf>
    <xf numFmtId="176" fontId="9" fillId="13" borderId="11" xfId="0" applyNumberFormat="1" applyFont="1" applyFill="1" applyBorder="1" applyAlignment="1">
      <alignment horizontal="center" vertical="center"/>
    </xf>
    <xf numFmtId="0" fontId="9" fillId="16" borderId="18" xfId="0" applyFont="1" applyFill="1" applyBorder="1" applyAlignment="1">
      <alignment horizontal="center" vertical="center"/>
    </xf>
    <xf numFmtId="41" fontId="10" fillId="16" borderId="18" xfId="11" applyFont="1" applyFill="1" applyBorder="1" applyAlignment="1">
      <alignment horizontal="center" vertical="center"/>
    </xf>
    <xf numFmtId="176" fontId="9" fillId="16" borderId="18" xfId="0" applyNumberFormat="1" applyFont="1" applyFill="1" applyBorder="1" applyAlignment="1">
      <alignment horizontal="center" vertical="center"/>
    </xf>
    <xf numFmtId="176" fontId="9" fillId="16" borderId="21" xfId="0" applyNumberFormat="1" applyFont="1" applyFill="1" applyBorder="1" applyAlignment="1">
      <alignment horizontal="center" vertical="center"/>
    </xf>
    <xf numFmtId="41" fontId="10" fillId="2" borderId="10" xfId="11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41" fontId="10" fillId="12" borderId="18" xfId="11" applyFont="1" applyFill="1" applyBorder="1" applyAlignment="1">
      <alignment horizontal="center" vertical="center"/>
    </xf>
    <xf numFmtId="0" fontId="8" fillId="0" borderId="25" xfId="1" applyFont="1" applyBorder="1" applyAlignment="1">
      <alignment horizontal="center" vertical="center" wrapText="1"/>
    </xf>
    <xf numFmtId="176" fontId="9" fillId="12" borderId="17" xfId="0" applyNumberFormat="1" applyFont="1" applyFill="1" applyBorder="1" applyAlignment="1">
      <alignment horizontal="center" vertical="center"/>
    </xf>
    <xf numFmtId="0" fontId="9" fillId="12" borderId="27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41" fontId="10" fillId="16" borderId="8" xfId="11" applyFont="1" applyFill="1" applyBorder="1" applyAlignment="1">
      <alignment horizontal="center" vertical="center"/>
    </xf>
    <xf numFmtId="176" fontId="9" fillId="16" borderId="8" xfId="0" applyNumberFormat="1" applyFont="1" applyFill="1" applyBorder="1" applyAlignment="1">
      <alignment horizontal="center" vertical="center"/>
    </xf>
    <xf numFmtId="176" fontId="9" fillId="16" borderId="9" xfId="0" applyNumberFormat="1" applyFont="1" applyFill="1" applyBorder="1" applyAlignment="1">
      <alignment horizontal="center" vertical="center"/>
    </xf>
    <xf numFmtId="0" fontId="9" fillId="16" borderId="17" xfId="0" applyFont="1" applyFill="1" applyBorder="1" applyAlignment="1">
      <alignment horizontal="center" vertical="center"/>
    </xf>
    <xf numFmtId="41" fontId="10" fillId="16" borderId="17" xfId="11" applyFont="1" applyFill="1" applyBorder="1" applyAlignment="1">
      <alignment horizontal="center" vertical="center"/>
    </xf>
    <xf numFmtId="176" fontId="9" fillId="16" borderId="17" xfId="0" applyNumberFormat="1" applyFont="1" applyFill="1" applyBorder="1" applyAlignment="1">
      <alignment horizontal="center" vertical="center"/>
    </xf>
    <xf numFmtId="176" fontId="9" fillId="16" borderId="27" xfId="0" applyNumberFormat="1" applyFont="1" applyFill="1" applyBorder="1" applyAlignment="1">
      <alignment horizontal="center" vertical="center"/>
    </xf>
    <xf numFmtId="0" fontId="7" fillId="17" borderId="17" xfId="0" applyFont="1" applyFill="1" applyBorder="1" applyAlignment="1">
      <alignment horizontal="center" vertical="center"/>
    </xf>
    <xf numFmtId="0" fontId="9" fillId="17" borderId="17" xfId="0" applyFont="1" applyFill="1" applyBorder="1" applyAlignment="1">
      <alignment horizontal="center" vertical="center"/>
    </xf>
    <xf numFmtId="41" fontId="10" fillId="17" borderId="17" xfId="11" applyFont="1" applyFill="1" applyBorder="1" applyAlignment="1">
      <alignment horizontal="center" vertical="center"/>
    </xf>
    <xf numFmtId="176" fontId="9" fillId="17" borderId="17" xfId="0" applyNumberFormat="1" applyFont="1" applyFill="1" applyBorder="1" applyAlignment="1">
      <alignment horizontal="center" vertical="center"/>
    </xf>
    <xf numFmtId="176" fontId="9" fillId="17" borderId="27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176" fontId="6" fillId="4" borderId="24" xfId="0" applyNumberFormat="1" applyFont="1" applyFill="1" applyBorder="1" applyAlignment="1">
      <alignment horizontal="center" vertical="center"/>
    </xf>
    <xf numFmtId="176" fontId="6" fillId="4" borderId="16" xfId="0" applyNumberFormat="1" applyFont="1" applyFill="1" applyBorder="1" applyAlignment="1">
      <alignment horizontal="center" vertical="center"/>
    </xf>
    <xf numFmtId="176" fontId="6" fillId="4" borderId="23" xfId="0" applyNumberFormat="1" applyFont="1" applyFill="1" applyBorder="1" applyAlignment="1">
      <alignment horizontal="center" vertical="center"/>
    </xf>
    <xf numFmtId="176" fontId="6" fillId="4" borderId="19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76" fontId="6" fillId="4" borderId="12" xfId="0" applyNumberFormat="1" applyFont="1" applyFill="1" applyBorder="1" applyAlignment="1">
      <alignment horizontal="center" vertical="center"/>
    </xf>
    <xf numFmtId="176" fontId="6" fillId="4" borderId="15" xfId="0" applyNumberFormat="1" applyFont="1" applyFill="1" applyBorder="1" applyAlignment="1">
      <alignment horizontal="center" vertical="center"/>
    </xf>
    <xf numFmtId="176" fontId="6" fillId="4" borderId="21" xfId="0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176" fontId="6" fillId="4" borderId="18" xfId="0" applyNumberFormat="1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7" fillId="13" borderId="15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10" borderId="46" xfId="0" applyFont="1" applyFill="1" applyBorder="1" applyAlignment="1">
      <alignment horizontal="center" vertical="center"/>
    </xf>
    <xf numFmtId="0" fontId="7" fillId="10" borderId="48" xfId="0" applyFont="1" applyFill="1" applyBorder="1" applyAlignment="1">
      <alignment horizontal="center" vertical="center"/>
    </xf>
    <xf numFmtId="0" fontId="7" fillId="10" borderId="58" xfId="0" applyFont="1" applyFill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58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vertical="center" wrapText="1"/>
    </xf>
    <xf numFmtId="0" fontId="7" fillId="7" borderId="48" xfId="0" applyFont="1" applyFill="1" applyBorder="1" applyAlignment="1">
      <alignment horizontal="center" vertical="center" wrapText="1"/>
    </xf>
    <xf numFmtId="0" fontId="7" fillId="7" borderId="58" xfId="0" applyFont="1" applyFill="1" applyBorder="1" applyAlignment="1">
      <alignment horizontal="center" vertical="center" wrapText="1"/>
    </xf>
    <xf numFmtId="0" fontId="7" fillId="12" borderId="46" xfId="0" applyFont="1" applyFill="1" applyBorder="1" applyAlignment="1">
      <alignment horizontal="center" vertical="center"/>
    </xf>
    <xf numFmtId="0" fontId="7" fillId="12" borderId="48" xfId="0" applyFont="1" applyFill="1" applyBorder="1" applyAlignment="1">
      <alignment horizontal="center" vertical="center"/>
    </xf>
    <xf numFmtId="0" fontId="7" fillId="12" borderId="57" xfId="0" applyFont="1" applyFill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18" fillId="15" borderId="45" xfId="1" applyFont="1" applyFill="1" applyBorder="1" applyAlignment="1">
      <alignment horizontal="center" vertical="center" wrapText="1"/>
    </xf>
    <xf numFmtId="0" fontId="18" fillId="15" borderId="54" xfId="1" applyFont="1" applyFill="1" applyBorder="1" applyAlignment="1">
      <alignment horizontal="center" vertical="center" wrapText="1"/>
    </xf>
    <xf numFmtId="9" fontId="5" fillId="0" borderId="45" xfId="1" applyNumberFormat="1" applyFont="1" applyBorder="1" applyAlignment="1">
      <alignment horizontal="center" vertical="center" wrapText="1"/>
    </xf>
    <xf numFmtId="9" fontId="5" fillId="0" borderId="54" xfId="1" applyNumberFormat="1" applyFont="1" applyBorder="1" applyAlignment="1">
      <alignment horizontal="center" vertical="center" wrapText="1"/>
    </xf>
    <xf numFmtId="9" fontId="5" fillId="0" borderId="0" xfId="1" applyNumberFormat="1" applyFont="1" applyAlignment="1">
      <alignment horizontal="center" vertical="center" wrapText="1"/>
    </xf>
    <xf numFmtId="9" fontId="5" fillId="0" borderId="49" xfId="1" applyNumberFormat="1" applyFont="1" applyBorder="1" applyAlignment="1">
      <alignment horizontal="center" vertical="center" wrapText="1"/>
    </xf>
    <xf numFmtId="9" fontId="5" fillId="0" borderId="28" xfId="1" applyNumberFormat="1" applyFont="1" applyBorder="1" applyAlignment="1">
      <alignment horizontal="center" vertical="center" wrapText="1"/>
    </xf>
    <xf numFmtId="9" fontId="5" fillId="0" borderId="39" xfId="1" applyNumberFormat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/>
    </xf>
    <xf numFmtId="0" fontId="18" fillId="0" borderId="46" xfId="1" applyFont="1" applyBorder="1" applyAlignment="1">
      <alignment horizontal="center" vertical="center"/>
    </xf>
    <xf numFmtId="0" fontId="5" fillId="11" borderId="35" xfId="1" applyFont="1" applyFill="1" applyBorder="1" applyAlignment="1">
      <alignment horizontal="center" vertical="center"/>
    </xf>
    <xf numFmtId="0" fontId="5" fillId="11" borderId="38" xfId="1" applyFont="1" applyFill="1" applyBorder="1" applyAlignment="1">
      <alignment horizontal="center" vertical="center"/>
    </xf>
    <xf numFmtId="0" fontId="5" fillId="11" borderId="43" xfId="1" applyFont="1" applyFill="1" applyBorder="1" applyAlignment="1">
      <alignment horizontal="center" vertical="center"/>
    </xf>
    <xf numFmtId="0" fontId="18" fillId="15" borderId="31" xfId="1" applyFont="1" applyFill="1" applyBorder="1" applyAlignment="1">
      <alignment horizontal="center" vertical="center" wrapText="1"/>
    </xf>
    <xf numFmtId="0" fontId="18" fillId="15" borderId="66" xfId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30" xfId="1" applyFont="1" applyFill="1" applyBorder="1" applyAlignment="1">
      <alignment horizontal="center" vertical="center"/>
    </xf>
    <xf numFmtId="0" fontId="12" fillId="8" borderId="28" xfId="1" applyFont="1" applyFill="1" applyBorder="1" applyAlignment="1">
      <alignment horizontal="center" vertical="center"/>
    </xf>
    <xf numFmtId="0" fontId="12" fillId="8" borderId="39" xfId="1" applyFont="1" applyFill="1" applyBorder="1" applyAlignment="1">
      <alignment horizontal="center" vertical="center"/>
    </xf>
    <xf numFmtId="0" fontId="5" fillId="14" borderId="41" xfId="1" applyFont="1" applyFill="1" applyBorder="1" applyAlignment="1">
      <alignment horizontal="center" vertical="center" wrapText="1"/>
    </xf>
    <xf numFmtId="0" fontId="5" fillId="14" borderId="42" xfId="1" applyFont="1" applyFill="1" applyBorder="1" applyAlignment="1">
      <alignment horizontal="center" vertical="center" wrapText="1"/>
    </xf>
    <xf numFmtId="0" fontId="15" fillId="14" borderId="38" xfId="1" applyFont="1" applyFill="1" applyBorder="1" applyAlignment="1">
      <alignment horizontal="center" vertical="center" wrapText="1"/>
    </xf>
    <xf numFmtId="0" fontId="15" fillId="14" borderId="43" xfId="1" applyFont="1" applyFill="1" applyBorder="1" applyAlignment="1">
      <alignment horizontal="center" vertical="center" wrapText="1"/>
    </xf>
    <xf numFmtId="0" fontId="5" fillId="0" borderId="44" xfId="1" applyFont="1" applyBorder="1" applyAlignment="1">
      <alignment horizontal="center" wrapText="1"/>
    </xf>
    <xf numFmtId="0" fontId="5" fillId="0" borderId="45" xfId="1" applyFont="1" applyBorder="1" applyAlignment="1">
      <alignment horizontal="center" wrapText="1"/>
    </xf>
    <xf numFmtId="0" fontId="5" fillId="0" borderId="46" xfId="1" applyFont="1" applyBorder="1" applyAlignment="1">
      <alignment horizontal="center" wrapText="1"/>
    </xf>
    <xf numFmtId="0" fontId="5" fillId="0" borderId="47" xfId="1" applyFont="1" applyBorder="1" applyAlignment="1">
      <alignment horizontal="center" wrapText="1"/>
    </xf>
    <xf numFmtId="0" fontId="5" fillId="0" borderId="0" xfId="1" applyFont="1" applyAlignment="1">
      <alignment horizontal="center" wrapText="1"/>
    </xf>
    <xf numFmtId="0" fontId="5" fillId="0" borderId="48" xfId="1" applyFont="1" applyBorder="1" applyAlignment="1">
      <alignment horizontal="center" wrapText="1"/>
    </xf>
    <xf numFmtId="9" fontId="5" fillId="0" borderId="47" xfId="1" applyNumberFormat="1" applyFont="1" applyBorder="1" applyAlignment="1">
      <alignment horizontal="center" vertical="center" wrapText="1"/>
    </xf>
    <xf numFmtId="9" fontId="5" fillId="0" borderId="48" xfId="1" applyNumberFormat="1" applyFont="1" applyBorder="1" applyAlignment="1">
      <alignment horizontal="center" vertical="center" wrapText="1"/>
    </xf>
    <xf numFmtId="9" fontId="5" fillId="0" borderId="51" xfId="1" applyNumberFormat="1" applyFont="1" applyBorder="1" applyAlignment="1">
      <alignment horizontal="center" vertical="center" wrapText="1"/>
    </xf>
    <xf numFmtId="9" fontId="5" fillId="0" borderId="52" xfId="1" applyNumberFormat="1" applyFont="1" applyBorder="1" applyAlignment="1">
      <alignment horizontal="center" vertical="center" wrapText="1"/>
    </xf>
    <xf numFmtId="9" fontId="14" fillId="0" borderId="0" xfId="1" applyNumberFormat="1" applyFont="1" applyAlignment="1">
      <alignment horizontal="center" vertical="center" wrapText="1"/>
    </xf>
    <xf numFmtId="9" fontId="13" fillId="0" borderId="49" xfId="1" applyNumberFormat="1" applyFont="1" applyBorder="1" applyAlignment="1">
      <alignment horizontal="center" vertical="center" wrapText="1"/>
    </xf>
    <xf numFmtId="9" fontId="13" fillId="0" borderId="0" xfId="1" applyNumberFormat="1" applyFont="1" applyAlignment="1">
      <alignment horizontal="center" vertical="center" wrapText="1"/>
    </xf>
    <xf numFmtId="9" fontId="13" fillId="0" borderId="28" xfId="1" applyNumberFormat="1" applyFont="1" applyBorder="1" applyAlignment="1">
      <alignment horizontal="center" vertical="center" wrapText="1"/>
    </xf>
    <xf numFmtId="9" fontId="13" fillId="0" borderId="39" xfId="1" applyNumberFormat="1" applyFont="1" applyBorder="1" applyAlignment="1">
      <alignment horizontal="center" vertical="center" wrapText="1"/>
    </xf>
    <xf numFmtId="0" fontId="17" fillId="0" borderId="47" xfId="1" applyFont="1" applyBorder="1" applyAlignment="1">
      <alignment horizontal="center" vertical="top"/>
    </xf>
    <xf numFmtId="0" fontId="17" fillId="0" borderId="0" xfId="1" applyFont="1" applyAlignment="1">
      <alignment horizontal="center" vertical="top"/>
    </xf>
    <xf numFmtId="0" fontId="17" fillId="0" borderId="48" xfId="1" applyFont="1" applyBorder="1" applyAlignment="1">
      <alignment horizontal="center" vertical="top"/>
    </xf>
    <xf numFmtId="0" fontId="17" fillId="0" borderId="51" xfId="1" applyFont="1" applyBorder="1" applyAlignment="1">
      <alignment horizontal="center" vertical="top"/>
    </xf>
    <xf numFmtId="0" fontId="17" fillId="0" borderId="28" xfId="1" applyFont="1" applyBorder="1" applyAlignment="1">
      <alignment horizontal="center" vertical="top"/>
    </xf>
    <xf numFmtId="0" fontId="17" fillId="0" borderId="52" xfId="1" applyFont="1" applyBorder="1" applyAlignment="1">
      <alignment horizontal="center" vertical="top"/>
    </xf>
    <xf numFmtId="0" fontId="5" fillId="14" borderId="40" xfId="1" applyFont="1" applyFill="1" applyBorder="1" applyAlignment="1">
      <alignment horizontal="center" vertical="center"/>
    </xf>
    <xf numFmtId="0" fontId="5" fillId="14" borderId="32" xfId="1" applyFont="1" applyFill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3" fillId="0" borderId="50" xfId="1" applyFont="1" applyBorder="1" applyAlignment="1">
      <alignment horizontal="center" vertical="center"/>
    </xf>
    <xf numFmtId="0" fontId="20" fillId="0" borderId="63" xfId="1" applyFont="1" applyBorder="1" applyAlignment="1">
      <alignment horizontal="center" vertical="center" wrapText="1"/>
    </xf>
    <xf numFmtId="0" fontId="20" fillId="0" borderId="64" xfId="1" applyFont="1" applyBorder="1" applyAlignment="1">
      <alignment horizontal="center" vertical="center" wrapText="1"/>
    </xf>
    <xf numFmtId="0" fontId="20" fillId="0" borderId="65" xfId="1" applyFont="1" applyBorder="1" applyAlignment="1">
      <alignment horizontal="center" vertical="center" wrapText="1"/>
    </xf>
    <xf numFmtId="9" fontId="5" fillId="0" borderId="44" xfId="1" applyNumberFormat="1" applyFont="1" applyBorder="1" applyAlignment="1">
      <alignment horizontal="center" vertical="center" wrapText="1"/>
    </xf>
    <xf numFmtId="9" fontId="5" fillId="0" borderId="46" xfId="1" applyNumberFormat="1" applyFont="1" applyBorder="1" applyAlignment="1">
      <alignment horizontal="center" vertical="center" wrapText="1"/>
    </xf>
    <xf numFmtId="0" fontId="5" fillId="14" borderId="35" xfId="1" applyFont="1" applyFill="1" applyBorder="1" applyAlignment="1">
      <alignment horizontal="center" vertical="center"/>
    </xf>
    <xf numFmtId="0" fontId="5" fillId="14" borderId="38" xfId="1" applyFont="1" applyFill="1" applyBorder="1" applyAlignment="1">
      <alignment horizontal="center" vertical="center"/>
    </xf>
    <xf numFmtId="0" fontId="5" fillId="14" borderId="43" xfId="1" applyFont="1" applyFill="1" applyBorder="1" applyAlignment="1">
      <alignment horizontal="center" vertical="center"/>
    </xf>
    <xf numFmtId="0" fontId="8" fillId="0" borderId="25" xfId="1" applyFont="1" applyBorder="1" applyAlignment="1">
      <alignment horizontal="center" vertical="center" wrapText="1"/>
    </xf>
    <xf numFmtId="0" fontId="19" fillId="15" borderId="45" xfId="1" applyFont="1" applyFill="1" applyBorder="1" applyAlignment="1">
      <alignment horizontal="center" vertical="center" wrapText="1"/>
    </xf>
    <xf numFmtId="0" fontId="19" fillId="15" borderId="54" xfId="1" applyFont="1" applyFill="1" applyBorder="1" applyAlignment="1">
      <alignment horizontal="center" vertical="center" wrapText="1"/>
    </xf>
    <xf numFmtId="0" fontId="19" fillId="15" borderId="0" xfId="1" applyFont="1" applyFill="1" applyAlignment="1">
      <alignment horizontal="center" vertical="center" wrapText="1"/>
    </xf>
    <xf numFmtId="0" fontId="19" fillId="15" borderId="49" xfId="1" applyFont="1" applyFill="1" applyBorder="1" applyAlignment="1">
      <alignment horizontal="center" vertical="center" wrapText="1"/>
    </xf>
    <xf numFmtId="0" fontId="18" fillId="0" borderId="33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36" xfId="1" applyFont="1" applyBorder="1" applyAlignment="1">
      <alignment horizontal="center" vertical="center" wrapText="1"/>
    </xf>
    <xf numFmtId="0" fontId="18" fillId="0" borderId="37" xfId="1" applyFont="1" applyBorder="1" applyAlignment="1">
      <alignment horizontal="center" vertical="center" wrapText="1"/>
    </xf>
    <xf numFmtId="0" fontId="18" fillId="0" borderId="56" xfId="1" applyFont="1" applyBorder="1" applyAlignment="1">
      <alignment horizontal="center" vertical="center" wrapText="1"/>
    </xf>
    <xf numFmtId="0" fontId="5" fillId="14" borderId="38" xfId="1" applyFont="1" applyFill="1" applyBorder="1" applyAlignment="1">
      <alignment horizontal="center" vertical="center" wrapText="1"/>
    </xf>
    <xf numFmtId="0" fontId="5" fillId="14" borderId="43" xfId="1" applyFont="1" applyFill="1" applyBorder="1" applyAlignment="1">
      <alignment horizontal="center" vertical="center" wrapText="1"/>
    </xf>
    <xf numFmtId="0" fontId="13" fillId="0" borderId="53" xfId="1" applyFont="1" applyBorder="1" applyAlignment="1">
      <alignment horizontal="center" vertical="center"/>
    </xf>
    <xf numFmtId="0" fontId="13" fillId="0" borderId="55" xfId="1" applyFont="1" applyBorder="1" applyAlignment="1">
      <alignment horizontal="center" vertical="center"/>
    </xf>
  </cellXfs>
  <cellStyles count="12">
    <cellStyle name="쉼표 [0]" xfId="11" builtinId="6"/>
    <cellStyle name="쉼표 [0] 2" xfId="2"/>
    <cellStyle name="쉼표 [0] 4 3 3 4" xfId="3"/>
    <cellStyle name="쉼표 [0] 4 3 4" xfId="4"/>
    <cellStyle name="쉼표 [0] 8" xfId="5"/>
    <cellStyle name="표준" xfId="0" builtinId="0"/>
    <cellStyle name="표준 2" xfId="1"/>
    <cellStyle name="표준 2 2" xfId="6"/>
    <cellStyle name="표준 3" xfId="7"/>
    <cellStyle name="표준 80" xfId="8"/>
    <cellStyle name="표준 81" xfId="9"/>
    <cellStyle name="표준 85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152"/>
  <sheetViews>
    <sheetView tabSelected="1" topLeftCell="A4" zoomScale="85" zoomScaleNormal="85" workbookViewId="0">
      <selection activeCell="B4" sqref="B4:B5"/>
    </sheetView>
  </sheetViews>
  <sheetFormatPr defaultRowHeight="13.5"/>
  <cols>
    <col min="1" max="1" width="0.88671875" customWidth="1"/>
    <col min="3" max="3" width="10.77734375" customWidth="1"/>
    <col min="4" max="4" width="24.5546875" customWidth="1"/>
    <col min="11" max="11" width="10.77734375" customWidth="1"/>
    <col min="12" max="12" width="20.44140625" customWidth="1"/>
    <col min="13" max="13" width="9.88671875" customWidth="1"/>
  </cols>
  <sheetData>
    <row r="1" spans="2:17" ht="6" customHeight="1" thickBot="1"/>
    <row r="2" spans="2:17" ht="13.5" customHeight="1">
      <c r="B2" s="99" t="s">
        <v>156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/>
    </row>
    <row r="3" spans="2:17" ht="32.25" customHeight="1" thickBot="1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4"/>
    </row>
    <row r="4" spans="2:17">
      <c r="B4" s="144" t="s">
        <v>8</v>
      </c>
      <c r="C4" s="146" t="s">
        <v>9</v>
      </c>
      <c r="D4" s="146" t="s">
        <v>10</v>
      </c>
      <c r="E4" s="148" t="s">
        <v>11</v>
      </c>
      <c r="F4" s="127" t="s">
        <v>12</v>
      </c>
      <c r="G4" s="127" t="s">
        <v>13</v>
      </c>
      <c r="H4" s="129" t="s">
        <v>14</v>
      </c>
      <c r="I4" s="1"/>
      <c r="J4" s="144" t="s">
        <v>8</v>
      </c>
      <c r="K4" s="146" t="s">
        <v>9</v>
      </c>
      <c r="L4" s="146" t="s">
        <v>10</v>
      </c>
      <c r="M4" s="148" t="s">
        <v>11</v>
      </c>
      <c r="N4" s="127" t="s">
        <v>12</v>
      </c>
      <c r="O4" s="127" t="s">
        <v>13</v>
      </c>
      <c r="P4" s="129" t="s">
        <v>14</v>
      </c>
      <c r="Q4" s="1"/>
    </row>
    <row r="5" spans="2:17" ht="14.25" thickBot="1">
      <c r="B5" s="145"/>
      <c r="C5" s="147"/>
      <c r="D5" s="147"/>
      <c r="E5" s="149"/>
      <c r="F5" s="128"/>
      <c r="G5" s="128"/>
      <c r="H5" s="130"/>
      <c r="I5" s="1"/>
      <c r="J5" s="145"/>
      <c r="K5" s="147"/>
      <c r="L5" s="147"/>
      <c r="M5" s="149"/>
      <c r="N5" s="128"/>
      <c r="O5" s="128"/>
      <c r="P5" s="130"/>
      <c r="Q5" s="1"/>
    </row>
    <row r="6" spans="2:17" ht="16.5" customHeight="1">
      <c r="B6" s="111" t="s">
        <v>23</v>
      </c>
      <c r="C6" s="114" t="s">
        <v>130</v>
      </c>
      <c r="D6" s="19" t="s">
        <v>24</v>
      </c>
      <c r="E6" s="20">
        <v>300000</v>
      </c>
      <c r="F6" s="18">
        <v>16</v>
      </c>
      <c r="G6" s="18">
        <v>2</v>
      </c>
      <c r="H6" s="21">
        <f>F6*G6</f>
        <v>32</v>
      </c>
      <c r="I6" s="1"/>
      <c r="J6" s="111" t="s">
        <v>25</v>
      </c>
      <c r="K6" s="114" t="s">
        <v>130</v>
      </c>
      <c r="L6" s="19" t="s">
        <v>24</v>
      </c>
      <c r="M6" s="20">
        <v>300000</v>
      </c>
      <c r="N6" s="18">
        <v>9</v>
      </c>
      <c r="O6" s="18">
        <v>3</v>
      </c>
      <c r="P6" s="21">
        <f>N6*O6</f>
        <v>27</v>
      </c>
      <c r="Q6" s="1"/>
    </row>
    <row r="7" spans="2:17" ht="16.5" customHeight="1">
      <c r="B7" s="112"/>
      <c r="C7" s="115"/>
      <c r="D7" s="2" t="s">
        <v>29</v>
      </c>
      <c r="E7" s="22">
        <v>350000</v>
      </c>
      <c r="F7" s="10">
        <v>18</v>
      </c>
      <c r="G7" s="10">
        <v>2</v>
      </c>
      <c r="H7" s="23">
        <f t="shared" ref="H7" si="0">F7*G7</f>
        <v>36</v>
      </c>
      <c r="I7" s="1"/>
      <c r="J7" s="112"/>
      <c r="K7" s="119"/>
      <c r="L7" s="2" t="s">
        <v>29</v>
      </c>
      <c r="M7" s="22">
        <v>350000</v>
      </c>
      <c r="N7" s="10">
        <v>9</v>
      </c>
      <c r="O7" s="10">
        <v>3</v>
      </c>
      <c r="P7" s="23">
        <f t="shared" ref="P7:P40" si="1">N7*O7</f>
        <v>27</v>
      </c>
      <c r="Q7" s="1"/>
    </row>
    <row r="8" spans="2:17" ht="16.5" customHeight="1">
      <c r="B8" s="112"/>
      <c r="C8" s="105" t="s">
        <v>32</v>
      </c>
      <c r="D8" s="29" t="s">
        <v>33</v>
      </c>
      <c r="E8" s="30">
        <v>400000</v>
      </c>
      <c r="F8" s="9">
        <v>16</v>
      </c>
      <c r="G8" s="9">
        <v>2</v>
      </c>
      <c r="H8" s="31">
        <f>F8*G8</f>
        <v>32</v>
      </c>
      <c r="I8" s="1"/>
      <c r="J8" s="112"/>
      <c r="K8" s="119"/>
      <c r="L8" s="2" t="s">
        <v>17</v>
      </c>
      <c r="M8" s="22">
        <v>400000</v>
      </c>
      <c r="N8" s="10">
        <v>16</v>
      </c>
      <c r="O8" s="10">
        <v>3</v>
      </c>
      <c r="P8" s="23">
        <f t="shared" si="1"/>
        <v>48</v>
      </c>
      <c r="Q8" s="1"/>
    </row>
    <row r="9" spans="2:17" ht="16.5" customHeight="1">
      <c r="B9" s="112"/>
      <c r="C9" s="106"/>
      <c r="D9" s="29" t="s">
        <v>36</v>
      </c>
      <c r="E9" s="30">
        <v>400000</v>
      </c>
      <c r="F9" s="9">
        <v>16</v>
      </c>
      <c r="G9" s="9">
        <v>2</v>
      </c>
      <c r="H9" s="31">
        <f t="shared" ref="H9:H14" si="2">F9*G9</f>
        <v>32</v>
      </c>
      <c r="I9" s="1"/>
      <c r="J9" s="112"/>
      <c r="K9" s="119"/>
      <c r="L9" s="2" t="s">
        <v>19</v>
      </c>
      <c r="M9" s="22">
        <v>400000</v>
      </c>
      <c r="N9" s="10">
        <v>16</v>
      </c>
      <c r="O9" s="10">
        <v>3</v>
      </c>
      <c r="P9" s="23">
        <f t="shared" si="1"/>
        <v>48</v>
      </c>
      <c r="Q9" s="1"/>
    </row>
    <row r="10" spans="2:17" ht="16.5" customHeight="1">
      <c r="B10" s="112"/>
      <c r="C10" s="106"/>
      <c r="D10" s="29" t="s">
        <v>39</v>
      </c>
      <c r="E10" s="30">
        <v>400000</v>
      </c>
      <c r="F10" s="9">
        <v>16</v>
      </c>
      <c r="G10" s="9">
        <v>2</v>
      </c>
      <c r="H10" s="31">
        <f t="shared" si="2"/>
        <v>32</v>
      </c>
      <c r="I10" s="1"/>
      <c r="J10" s="112"/>
      <c r="K10" s="115"/>
      <c r="L10" s="2" t="s">
        <v>106</v>
      </c>
      <c r="M10" s="22">
        <v>700000</v>
      </c>
      <c r="N10" s="10">
        <v>24</v>
      </c>
      <c r="O10" s="10">
        <v>3</v>
      </c>
      <c r="P10" s="23">
        <f t="shared" si="1"/>
        <v>72</v>
      </c>
      <c r="Q10" s="1"/>
    </row>
    <row r="11" spans="2:17" ht="16.5" customHeight="1">
      <c r="B11" s="112"/>
      <c r="C11" s="106"/>
      <c r="D11" s="8" t="s">
        <v>44</v>
      </c>
      <c r="E11" s="30">
        <v>500000</v>
      </c>
      <c r="F11" s="9">
        <v>16</v>
      </c>
      <c r="G11" s="9">
        <v>2</v>
      </c>
      <c r="H11" s="31">
        <f t="shared" ref="H11:H12" si="3">F11*G11</f>
        <v>32</v>
      </c>
      <c r="I11" s="1"/>
      <c r="J11" s="112"/>
      <c r="K11" s="105" t="s">
        <v>32</v>
      </c>
      <c r="L11" s="8" t="s">
        <v>44</v>
      </c>
      <c r="M11" s="30">
        <v>500000</v>
      </c>
      <c r="N11" s="9">
        <v>9</v>
      </c>
      <c r="O11" s="9">
        <v>3</v>
      </c>
      <c r="P11" s="31">
        <f t="shared" si="1"/>
        <v>27</v>
      </c>
      <c r="Q11" s="1"/>
    </row>
    <row r="12" spans="2:17" ht="16.5" customHeight="1">
      <c r="B12" s="112"/>
      <c r="C12" s="106"/>
      <c r="D12" s="8" t="s">
        <v>46</v>
      </c>
      <c r="E12" s="30">
        <v>600000</v>
      </c>
      <c r="F12" s="9">
        <v>16</v>
      </c>
      <c r="G12" s="9">
        <v>2</v>
      </c>
      <c r="H12" s="31">
        <f t="shared" si="3"/>
        <v>32</v>
      </c>
      <c r="I12" s="1"/>
      <c r="J12" s="112"/>
      <c r="K12" s="106"/>
      <c r="L12" s="8" t="s">
        <v>122</v>
      </c>
      <c r="M12" s="30">
        <v>500000</v>
      </c>
      <c r="N12" s="9">
        <v>8</v>
      </c>
      <c r="O12" s="9">
        <v>3</v>
      </c>
      <c r="P12" s="31">
        <f t="shared" si="1"/>
        <v>24</v>
      </c>
      <c r="Q12" s="1"/>
    </row>
    <row r="13" spans="2:17" ht="16.5" customHeight="1">
      <c r="B13" s="112"/>
      <c r="C13" s="123" t="s">
        <v>128</v>
      </c>
      <c r="D13" s="33" t="s">
        <v>48</v>
      </c>
      <c r="E13" s="34">
        <v>350000</v>
      </c>
      <c r="F13" s="35">
        <v>16</v>
      </c>
      <c r="G13" s="35">
        <v>2</v>
      </c>
      <c r="H13" s="43">
        <f t="shared" si="2"/>
        <v>32</v>
      </c>
      <c r="I13" s="1"/>
      <c r="J13" s="112"/>
      <c r="K13" s="107"/>
      <c r="L13" s="8" t="s">
        <v>100</v>
      </c>
      <c r="M13" s="30">
        <v>500000</v>
      </c>
      <c r="N13" s="9">
        <v>8</v>
      </c>
      <c r="O13" s="9">
        <v>2</v>
      </c>
      <c r="P13" s="31">
        <f t="shared" si="1"/>
        <v>16</v>
      </c>
      <c r="Q13" s="1"/>
    </row>
    <row r="14" spans="2:17" ht="16.5" customHeight="1">
      <c r="B14" s="112"/>
      <c r="C14" s="123"/>
      <c r="D14" s="33" t="s">
        <v>50</v>
      </c>
      <c r="E14" s="34">
        <v>400000</v>
      </c>
      <c r="F14" s="35">
        <v>16</v>
      </c>
      <c r="G14" s="35">
        <v>2</v>
      </c>
      <c r="H14" s="43">
        <f t="shared" si="2"/>
        <v>32</v>
      </c>
      <c r="I14" s="1"/>
      <c r="J14" s="112"/>
      <c r="K14" s="108" t="s">
        <v>128</v>
      </c>
      <c r="L14" s="33" t="s">
        <v>48</v>
      </c>
      <c r="M14" s="34">
        <v>350000</v>
      </c>
      <c r="N14" s="35">
        <v>9</v>
      </c>
      <c r="O14" s="35">
        <v>3</v>
      </c>
      <c r="P14" s="43">
        <f t="shared" si="1"/>
        <v>27</v>
      </c>
      <c r="Q14" s="1"/>
    </row>
    <row r="15" spans="2:17" ht="16.5" customHeight="1">
      <c r="B15" s="112"/>
      <c r="C15" s="123"/>
      <c r="D15" s="33" t="s">
        <v>52</v>
      </c>
      <c r="E15" s="34">
        <v>500000</v>
      </c>
      <c r="F15" s="35">
        <v>16</v>
      </c>
      <c r="G15" s="35">
        <v>2</v>
      </c>
      <c r="H15" s="43">
        <f>F15*G15</f>
        <v>32</v>
      </c>
      <c r="I15" s="1"/>
      <c r="J15" s="112"/>
      <c r="K15" s="109"/>
      <c r="L15" s="33" t="s">
        <v>50</v>
      </c>
      <c r="M15" s="34">
        <v>400000</v>
      </c>
      <c r="N15" s="35">
        <v>9</v>
      </c>
      <c r="O15" s="35">
        <v>3</v>
      </c>
      <c r="P15" s="43">
        <f t="shared" si="1"/>
        <v>27</v>
      </c>
      <c r="Q15" s="1"/>
    </row>
    <row r="16" spans="2:17" ht="16.5" customHeight="1">
      <c r="B16" s="112"/>
      <c r="C16" s="120" t="s">
        <v>136</v>
      </c>
      <c r="D16" s="47" t="s">
        <v>96</v>
      </c>
      <c r="E16" s="50">
        <v>400000</v>
      </c>
      <c r="F16" s="48">
        <v>16</v>
      </c>
      <c r="G16" s="48">
        <v>2</v>
      </c>
      <c r="H16" s="49">
        <f t="shared" ref="H16:H35" si="4">F16*G16</f>
        <v>32</v>
      </c>
      <c r="I16" s="1"/>
      <c r="J16" s="112"/>
      <c r="K16" s="109"/>
      <c r="L16" s="33" t="s">
        <v>53</v>
      </c>
      <c r="M16" s="34">
        <v>350000</v>
      </c>
      <c r="N16" s="35">
        <v>9</v>
      </c>
      <c r="O16" s="35">
        <v>2</v>
      </c>
      <c r="P16" s="43">
        <f t="shared" si="1"/>
        <v>18</v>
      </c>
      <c r="Q16" s="1"/>
    </row>
    <row r="17" spans="2:17" ht="16.5" customHeight="1">
      <c r="B17" s="112"/>
      <c r="C17" s="121"/>
      <c r="D17" s="47" t="s">
        <v>97</v>
      </c>
      <c r="E17" s="50">
        <v>400000</v>
      </c>
      <c r="F17" s="48">
        <v>16</v>
      </c>
      <c r="G17" s="48">
        <v>2</v>
      </c>
      <c r="H17" s="49">
        <v>32</v>
      </c>
      <c r="I17" s="1"/>
      <c r="J17" s="112"/>
      <c r="K17" s="109"/>
      <c r="L17" s="33" t="s">
        <v>57</v>
      </c>
      <c r="M17" s="34">
        <v>400000</v>
      </c>
      <c r="N17" s="35">
        <v>9</v>
      </c>
      <c r="O17" s="35">
        <v>2</v>
      </c>
      <c r="P17" s="43">
        <f t="shared" si="1"/>
        <v>18</v>
      </c>
      <c r="Q17" s="1"/>
    </row>
    <row r="18" spans="2:17" ht="16.5" customHeight="1">
      <c r="B18" s="112"/>
      <c r="C18" s="122"/>
      <c r="D18" s="47" t="s">
        <v>56</v>
      </c>
      <c r="E18" s="50">
        <v>500000</v>
      </c>
      <c r="F18" s="48">
        <v>16</v>
      </c>
      <c r="G18" s="48">
        <v>2</v>
      </c>
      <c r="H18" s="49">
        <f t="shared" si="4"/>
        <v>32</v>
      </c>
      <c r="I18" s="1"/>
      <c r="J18" s="112"/>
      <c r="K18" s="109"/>
      <c r="L18" s="33" t="s">
        <v>60</v>
      </c>
      <c r="M18" s="34">
        <v>400000</v>
      </c>
      <c r="N18" s="35">
        <v>9</v>
      </c>
      <c r="O18" s="35">
        <v>2</v>
      </c>
      <c r="P18" s="43">
        <f t="shared" si="1"/>
        <v>18</v>
      </c>
      <c r="Q18" s="1"/>
    </row>
    <row r="19" spans="2:17" ht="16.5" customHeight="1">
      <c r="B19" s="112"/>
      <c r="C19" s="116" t="s">
        <v>132</v>
      </c>
      <c r="D19" s="5" t="s">
        <v>59</v>
      </c>
      <c r="E19" s="51">
        <v>400000</v>
      </c>
      <c r="F19" s="16">
        <v>16</v>
      </c>
      <c r="G19" s="16">
        <v>2</v>
      </c>
      <c r="H19" s="52">
        <f t="shared" si="4"/>
        <v>32</v>
      </c>
      <c r="I19" s="1"/>
      <c r="J19" s="112"/>
      <c r="K19" s="110"/>
      <c r="L19" s="33" t="s">
        <v>101</v>
      </c>
      <c r="M19" s="34">
        <v>500000</v>
      </c>
      <c r="N19" s="35">
        <v>8</v>
      </c>
      <c r="O19" s="35">
        <v>2</v>
      </c>
      <c r="P19" s="43">
        <f t="shared" si="1"/>
        <v>16</v>
      </c>
      <c r="Q19" s="1"/>
    </row>
    <row r="20" spans="2:17" ht="16.5" customHeight="1">
      <c r="B20" s="112"/>
      <c r="C20" s="117"/>
      <c r="D20" s="5" t="s">
        <v>70</v>
      </c>
      <c r="E20" s="51">
        <v>400000</v>
      </c>
      <c r="F20" s="16">
        <v>16</v>
      </c>
      <c r="G20" s="16">
        <v>2</v>
      </c>
      <c r="H20" s="52">
        <f t="shared" si="4"/>
        <v>32</v>
      </c>
      <c r="I20" s="1"/>
      <c r="J20" s="112"/>
      <c r="K20" s="120" t="s">
        <v>135</v>
      </c>
      <c r="L20" s="47" t="s">
        <v>159</v>
      </c>
      <c r="M20" s="50">
        <v>400000</v>
      </c>
      <c r="N20" s="48">
        <v>9</v>
      </c>
      <c r="O20" s="48">
        <v>3</v>
      </c>
      <c r="P20" s="49">
        <f t="shared" si="1"/>
        <v>27</v>
      </c>
      <c r="Q20" s="1"/>
    </row>
    <row r="21" spans="2:17" ht="16.5" customHeight="1">
      <c r="B21" s="112"/>
      <c r="C21" s="117"/>
      <c r="D21" s="5" t="s">
        <v>95</v>
      </c>
      <c r="E21" s="51">
        <v>450000</v>
      </c>
      <c r="F21" s="16">
        <v>16</v>
      </c>
      <c r="G21" s="16">
        <v>2</v>
      </c>
      <c r="H21" s="52">
        <f t="shared" si="4"/>
        <v>32</v>
      </c>
      <c r="I21" s="1"/>
      <c r="J21" s="112"/>
      <c r="K21" s="121"/>
      <c r="L21" s="47" t="s">
        <v>97</v>
      </c>
      <c r="M21" s="50">
        <v>400000</v>
      </c>
      <c r="N21" s="48">
        <v>9</v>
      </c>
      <c r="O21" s="48">
        <v>3</v>
      </c>
      <c r="P21" s="49">
        <f t="shared" si="1"/>
        <v>27</v>
      </c>
      <c r="Q21" s="1"/>
    </row>
    <row r="22" spans="2:17" ht="16.5" customHeight="1">
      <c r="B22" s="112"/>
      <c r="C22" s="117"/>
      <c r="D22" s="5" t="s">
        <v>63</v>
      </c>
      <c r="E22" s="51">
        <v>400000</v>
      </c>
      <c r="F22" s="16">
        <v>16</v>
      </c>
      <c r="G22" s="16">
        <v>2</v>
      </c>
      <c r="H22" s="52">
        <f t="shared" si="4"/>
        <v>32</v>
      </c>
      <c r="I22" s="4"/>
      <c r="J22" s="112"/>
      <c r="K22" s="121"/>
      <c r="L22" s="47" t="s">
        <v>121</v>
      </c>
      <c r="M22" s="50">
        <v>500000</v>
      </c>
      <c r="N22" s="48">
        <v>8</v>
      </c>
      <c r="O22" s="48">
        <v>2</v>
      </c>
      <c r="P22" s="49">
        <f t="shared" si="1"/>
        <v>16</v>
      </c>
      <c r="Q22" s="4"/>
    </row>
    <row r="23" spans="2:17" ht="16.5" customHeight="1">
      <c r="B23" s="112"/>
      <c r="C23" s="117"/>
      <c r="D23" s="5" t="s">
        <v>102</v>
      </c>
      <c r="E23" s="51">
        <v>400000</v>
      </c>
      <c r="F23" s="16">
        <v>16</v>
      </c>
      <c r="G23" s="16">
        <v>2</v>
      </c>
      <c r="H23" s="52">
        <f t="shared" ref="H23" si="5">F23*G23</f>
        <v>32</v>
      </c>
      <c r="I23" s="1"/>
      <c r="J23" s="112"/>
      <c r="K23" s="122"/>
      <c r="L23" s="47" t="s">
        <v>56</v>
      </c>
      <c r="M23" s="50">
        <v>500000</v>
      </c>
      <c r="N23" s="48">
        <v>9</v>
      </c>
      <c r="O23" s="48">
        <v>3</v>
      </c>
      <c r="P23" s="49">
        <f t="shared" si="1"/>
        <v>27</v>
      </c>
      <c r="Q23" s="1"/>
    </row>
    <row r="24" spans="2:17" ht="16.5" customHeight="1">
      <c r="B24" s="112"/>
      <c r="C24" s="117"/>
      <c r="D24" s="5" t="s">
        <v>103</v>
      </c>
      <c r="E24" s="51">
        <v>400000</v>
      </c>
      <c r="F24" s="16">
        <v>16</v>
      </c>
      <c r="G24" s="16">
        <v>2</v>
      </c>
      <c r="H24" s="52">
        <f t="shared" si="4"/>
        <v>32</v>
      </c>
      <c r="I24" s="1"/>
      <c r="J24" s="112"/>
      <c r="K24" s="116" t="s">
        <v>132</v>
      </c>
      <c r="L24" s="5" t="s">
        <v>59</v>
      </c>
      <c r="M24" s="51">
        <v>400000</v>
      </c>
      <c r="N24" s="16">
        <v>9</v>
      </c>
      <c r="O24" s="16">
        <v>3</v>
      </c>
      <c r="P24" s="52">
        <f t="shared" si="1"/>
        <v>27</v>
      </c>
      <c r="Q24" s="1"/>
    </row>
    <row r="25" spans="2:17" ht="16.5" customHeight="1">
      <c r="B25" s="112"/>
      <c r="C25" s="118"/>
      <c r="D25" s="5" t="s">
        <v>66</v>
      </c>
      <c r="E25" s="51">
        <v>500000</v>
      </c>
      <c r="F25" s="16">
        <v>16</v>
      </c>
      <c r="G25" s="16">
        <v>2</v>
      </c>
      <c r="H25" s="52">
        <f t="shared" si="4"/>
        <v>32</v>
      </c>
      <c r="I25" s="1"/>
      <c r="J25" s="112"/>
      <c r="K25" s="117"/>
      <c r="L25" s="5" t="s">
        <v>70</v>
      </c>
      <c r="M25" s="51">
        <v>400000</v>
      </c>
      <c r="N25" s="16">
        <v>9</v>
      </c>
      <c r="O25" s="16">
        <v>3</v>
      </c>
      <c r="P25" s="52">
        <f t="shared" si="1"/>
        <v>27</v>
      </c>
      <c r="Q25" s="1"/>
    </row>
    <row r="26" spans="2:17" ht="16.5" customHeight="1">
      <c r="B26" s="112"/>
      <c r="C26" s="124" t="s">
        <v>137</v>
      </c>
      <c r="D26" s="6" t="s">
        <v>69</v>
      </c>
      <c r="E26" s="62">
        <v>400000</v>
      </c>
      <c r="F26" s="14">
        <v>16</v>
      </c>
      <c r="G26" s="14">
        <v>2</v>
      </c>
      <c r="H26" s="63">
        <f t="shared" si="4"/>
        <v>32</v>
      </c>
      <c r="I26" s="1"/>
      <c r="J26" s="112"/>
      <c r="K26" s="117"/>
      <c r="L26" s="5" t="s">
        <v>95</v>
      </c>
      <c r="M26" s="51">
        <v>450000</v>
      </c>
      <c r="N26" s="16">
        <v>9</v>
      </c>
      <c r="O26" s="16">
        <v>3</v>
      </c>
      <c r="P26" s="52">
        <f t="shared" si="1"/>
        <v>27</v>
      </c>
      <c r="Q26" s="1"/>
    </row>
    <row r="27" spans="2:17" ht="16.5" customHeight="1">
      <c r="B27" s="112"/>
      <c r="C27" s="125"/>
      <c r="D27" s="6" t="s">
        <v>72</v>
      </c>
      <c r="E27" s="62">
        <v>450000</v>
      </c>
      <c r="F27" s="14">
        <v>16</v>
      </c>
      <c r="G27" s="14">
        <v>2</v>
      </c>
      <c r="H27" s="63">
        <f t="shared" si="4"/>
        <v>32</v>
      </c>
      <c r="I27" s="1"/>
      <c r="J27" s="112"/>
      <c r="K27" s="117"/>
      <c r="L27" s="5" t="s">
        <v>102</v>
      </c>
      <c r="M27" s="51">
        <v>400000</v>
      </c>
      <c r="N27" s="16">
        <v>9</v>
      </c>
      <c r="O27" s="16">
        <v>3</v>
      </c>
      <c r="P27" s="52">
        <f t="shared" si="1"/>
        <v>27</v>
      </c>
      <c r="Q27" s="1"/>
    </row>
    <row r="28" spans="2:17" ht="16.5" customHeight="1">
      <c r="B28" s="112"/>
      <c r="C28" s="125"/>
      <c r="D28" s="6" t="s">
        <v>74</v>
      </c>
      <c r="E28" s="62">
        <v>450000</v>
      </c>
      <c r="F28" s="14">
        <v>16</v>
      </c>
      <c r="G28" s="14">
        <v>2</v>
      </c>
      <c r="H28" s="63">
        <f t="shared" ref="H28:H29" si="6">F28*G28</f>
        <v>32</v>
      </c>
      <c r="I28" s="1"/>
      <c r="J28" s="112"/>
      <c r="K28" s="117"/>
      <c r="L28" s="5" t="s">
        <v>103</v>
      </c>
      <c r="M28" s="51">
        <v>400000</v>
      </c>
      <c r="N28" s="16">
        <v>9</v>
      </c>
      <c r="O28" s="16">
        <v>3</v>
      </c>
      <c r="P28" s="52">
        <f t="shared" si="1"/>
        <v>27</v>
      </c>
      <c r="Q28" s="1"/>
    </row>
    <row r="29" spans="2:17" ht="16.5" customHeight="1">
      <c r="B29" s="112"/>
      <c r="C29" s="125"/>
      <c r="D29" s="6" t="s">
        <v>99</v>
      </c>
      <c r="E29" s="62">
        <v>450000</v>
      </c>
      <c r="F29" s="14">
        <v>16</v>
      </c>
      <c r="G29" s="14">
        <v>2</v>
      </c>
      <c r="H29" s="63">
        <f t="shared" si="6"/>
        <v>32</v>
      </c>
      <c r="I29" s="1"/>
      <c r="J29" s="112"/>
      <c r="K29" s="118"/>
      <c r="L29" s="5" t="s">
        <v>104</v>
      </c>
      <c r="M29" s="51">
        <v>500000</v>
      </c>
      <c r="N29" s="16">
        <v>8</v>
      </c>
      <c r="O29" s="16">
        <v>2</v>
      </c>
      <c r="P29" s="52">
        <f t="shared" si="1"/>
        <v>16</v>
      </c>
      <c r="Q29" s="1"/>
    </row>
    <row r="30" spans="2:17" ht="16.5" customHeight="1">
      <c r="B30" s="112"/>
      <c r="C30" s="125"/>
      <c r="D30" s="6" t="s">
        <v>158</v>
      </c>
      <c r="E30" s="62">
        <v>500000</v>
      </c>
      <c r="F30" s="14">
        <v>16</v>
      </c>
      <c r="G30" s="14">
        <v>2</v>
      </c>
      <c r="H30" s="63">
        <f t="shared" si="4"/>
        <v>32</v>
      </c>
      <c r="I30" s="1"/>
      <c r="J30" s="112"/>
      <c r="K30" s="124" t="s">
        <v>137</v>
      </c>
      <c r="L30" s="6" t="s">
        <v>77</v>
      </c>
      <c r="M30" s="62">
        <v>400000</v>
      </c>
      <c r="N30" s="14">
        <v>9</v>
      </c>
      <c r="O30" s="14">
        <v>2</v>
      </c>
      <c r="P30" s="63">
        <f t="shared" si="1"/>
        <v>18</v>
      </c>
      <c r="Q30" s="1"/>
    </row>
    <row r="31" spans="2:17" ht="16.5" customHeight="1">
      <c r="B31" s="112"/>
      <c r="C31" s="125"/>
      <c r="D31" s="6" t="s">
        <v>160</v>
      </c>
      <c r="E31" s="62">
        <v>500000</v>
      </c>
      <c r="F31" s="14">
        <v>16</v>
      </c>
      <c r="G31" s="14">
        <v>2</v>
      </c>
      <c r="H31" s="63">
        <f t="shared" si="4"/>
        <v>32</v>
      </c>
      <c r="I31" s="1"/>
      <c r="J31" s="112"/>
      <c r="K31" s="125"/>
      <c r="L31" s="6" t="s">
        <v>69</v>
      </c>
      <c r="M31" s="62">
        <v>400000</v>
      </c>
      <c r="N31" s="14">
        <v>9</v>
      </c>
      <c r="O31" s="14">
        <v>3</v>
      </c>
      <c r="P31" s="63">
        <f t="shared" si="1"/>
        <v>27</v>
      </c>
      <c r="Q31" s="1"/>
    </row>
    <row r="32" spans="2:17" ht="16.5" customHeight="1">
      <c r="B32" s="112"/>
      <c r="C32" s="126"/>
      <c r="D32" s="6" t="s">
        <v>98</v>
      </c>
      <c r="E32" s="62">
        <v>600000</v>
      </c>
      <c r="F32" s="14">
        <v>16</v>
      </c>
      <c r="G32" s="14">
        <v>2</v>
      </c>
      <c r="H32" s="63">
        <f t="shared" si="4"/>
        <v>32</v>
      </c>
      <c r="I32" s="1"/>
      <c r="J32" s="112"/>
      <c r="K32" s="125"/>
      <c r="L32" s="6" t="s">
        <v>80</v>
      </c>
      <c r="M32" s="62">
        <v>450000</v>
      </c>
      <c r="N32" s="14">
        <v>9</v>
      </c>
      <c r="O32" s="14">
        <v>3</v>
      </c>
      <c r="P32" s="63">
        <f t="shared" si="1"/>
        <v>27</v>
      </c>
      <c r="Q32" s="1"/>
    </row>
    <row r="33" spans="2:17" ht="16.5" customHeight="1">
      <c r="B33" s="112"/>
      <c r="C33" s="154" t="s">
        <v>140</v>
      </c>
      <c r="D33" s="64" t="s">
        <v>163</v>
      </c>
      <c r="E33" s="65">
        <v>600000</v>
      </c>
      <c r="F33" s="66">
        <v>16</v>
      </c>
      <c r="G33" s="66">
        <v>2</v>
      </c>
      <c r="H33" s="67">
        <f t="shared" si="4"/>
        <v>32</v>
      </c>
      <c r="I33" s="1"/>
      <c r="J33" s="112"/>
      <c r="K33" s="125"/>
      <c r="L33" s="6" t="s">
        <v>74</v>
      </c>
      <c r="M33" s="62">
        <v>450000</v>
      </c>
      <c r="N33" s="14">
        <v>9</v>
      </c>
      <c r="O33" s="14">
        <v>3</v>
      </c>
      <c r="P33" s="63">
        <f t="shared" si="1"/>
        <v>27</v>
      </c>
      <c r="Q33" s="1"/>
    </row>
    <row r="34" spans="2:17" ht="16.5" customHeight="1">
      <c r="B34" s="112"/>
      <c r="C34" s="154"/>
      <c r="D34" s="64" t="s">
        <v>22</v>
      </c>
      <c r="E34" s="65">
        <v>600000</v>
      </c>
      <c r="F34" s="66">
        <v>16</v>
      </c>
      <c r="G34" s="66">
        <v>2</v>
      </c>
      <c r="H34" s="67">
        <f t="shared" ref="H34" si="7">F34*G34</f>
        <v>32</v>
      </c>
      <c r="I34" s="1"/>
      <c r="J34" s="112"/>
      <c r="K34" s="125"/>
      <c r="L34" s="6" t="s">
        <v>99</v>
      </c>
      <c r="M34" s="62">
        <v>450000</v>
      </c>
      <c r="N34" s="14">
        <v>9</v>
      </c>
      <c r="O34" s="14">
        <v>3</v>
      </c>
      <c r="P34" s="63">
        <f t="shared" si="1"/>
        <v>27</v>
      </c>
      <c r="Q34" s="1"/>
    </row>
    <row r="35" spans="2:17" ht="16.5" customHeight="1" thickBot="1">
      <c r="B35" s="113"/>
      <c r="C35" s="94" t="s">
        <v>164</v>
      </c>
      <c r="D35" s="95" t="s">
        <v>165</v>
      </c>
      <c r="E35" s="96">
        <v>500000</v>
      </c>
      <c r="F35" s="97">
        <v>16</v>
      </c>
      <c r="G35" s="97">
        <v>2</v>
      </c>
      <c r="H35" s="98">
        <f t="shared" si="4"/>
        <v>32</v>
      </c>
      <c r="I35" s="1"/>
      <c r="J35" s="112"/>
      <c r="K35" s="125"/>
      <c r="L35" s="6" t="s">
        <v>123</v>
      </c>
      <c r="M35" s="62">
        <v>500000</v>
      </c>
      <c r="N35" s="14">
        <v>9</v>
      </c>
      <c r="O35" s="14">
        <v>3</v>
      </c>
      <c r="P35" s="63">
        <f t="shared" si="1"/>
        <v>27</v>
      </c>
      <c r="Q35" s="1"/>
    </row>
    <row r="36" spans="2:17" ht="16.5" customHeight="1" thickBot="1">
      <c r="B36" s="1"/>
      <c r="C36" s="1"/>
      <c r="D36" s="1"/>
      <c r="E36" s="1"/>
      <c r="F36" s="1"/>
      <c r="G36" s="1"/>
      <c r="H36" s="1"/>
      <c r="I36" s="1"/>
      <c r="J36" s="112"/>
      <c r="K36" s="125"/>
      <c r="L36" s="6" t="s">
        <v>161</v>
      </c>
      <c r="M36" s="62">
        <v>500000</v>
      </c>
      <c r="N36" s="14">
        <v>9</v>
      </c>
      <c r="O36" s="14">
        <v>3</v>
      </c>
      <c r="P36" s="63">
        <f t="shared" si="1"/>
        <v>27</v>
      </c>
      <c r="Q36" s="1"/>
    </row>
    <row r="37" spans="2:17" ht="16.5" customHeight="1">
      <c r="B37" s="131" t="s">
        <v>8</v>
      </c>
      <c r="C37" s="151" t="s">
        <v>9</v>
      </c>
      <c r="D37" s="151" t="s">
        <v>10</v>
      </c>
      <c r="E37" s="127" t="s">
        <v>11</v>
      </c>
      <c r="F37" s="127" t="s">
        <v>12</v>
      </c>
      <c r="G37" s="127" t="s">
        <v>13</v>
      </c>
      <c r="H37" s="129" t="s">
        <v>14</v>
      </c>
      <c r="I37" s="1"/>
      <c r="J37" s="112"/>
      <c r="K37" s="126"/>
      <c r="L37" s="6" t="s">
        <v>120</v>
      </c>
      <c r="M37" s="62">
        <v>500000</v>
      </c>
      <c r="N37" s="14">
        <v>8</v>
      </c>
      <c r="O37" s="14">
        <v>2</v>
      </c>
      <c r="P37" s="63">
        <f t="shared" si="1"/>
        <v>16</v>
      </c>
      <c r="Q37" s="1"/>
    </row>
    <row r="38" spans="2:17" ht="16.5" customHeight="1" thickBot="1">
      <c r="B38" s="132"/>
      <c r="C38" s="152"/>
      <c r="D38" s="152"/>
      <c r="E38" s="153"/>
      <c r="F38" s="153"/>
      <c r="G38" s="153"/>
      <c r="H38" s="150"/>
      <c r="I38" s="1"/>
      <c r="J38" s="112"/>
      <c r="K38" s="155" t="s">
        <v>140</v>
      </c>
      <c r="L38" s="64" t="s">
        <v>162</v>
      </c>
      <c r="M38" s="65">
        <v>600000</v>
      </c>
      <c r="N38" s="66">
        <v>9</v>
      </c>
      <c r="O38" s="66">
        <v>3</v>
      </c>
      <c r="P38" s="67">
        <f t="shared" si="1"/>
        <v>27</v>
      </c>
      <c r="Q38" s="1"/>
    </row>
    <row r="39" spans="2:17" ht="16.5" customHeight="1">
      <c r="B39" s="111" t="s">
        <v>15</v>
      </c>
      <c r="C39" s="114" t="s">
        <v>131</v>
      </c>
      <c r="D39" s="19" t="s">
        <v>26</v>
      </c>
      <c r="E39" s="20">
        <v>300000</v>
      </c>
      <c r="F39" s="18">
        <v>10</v>
      </c>
      <c r="G39" s="18">
        <v>3</v>
      </c>
      <c r="H39" s="21">
        <f>G39*F39</f>
        <v>30</v>
      </c>
      <c r="I39" s="1"/>
      <c r="J39" s="112"/>
      <c r="K39" s="156"/>
      <c r="L39" s="71" t="s">
        <v>105</v>
      </c>
      <c r="M39" s="72">
        <v>500000</v>
      </c>
      <c r="N39" s="73">
        <v>8</v>
      </c>
      <c r="O39" s="73">
        <v>2</v>
      </c>
      <c r="P39" s="74">
        <f t="shared" si="1"/>
        <v>16</v>
      </c>
      <c r="Q39" s="1"/>
    </row>
    <row r="40" spans="2:17" ht="16.5" customHeight="1" thickBot="1">
      <c r="B40" s="112"/>
      <c r="C40" s="119"/>
      <c r="D40" s="2" t="s">
        <v>126</v>
      </c>
      <c r="E40" s="79">
        <v>300000</v>
      </c>
      <c r="F40" s="10">
        <v>10</v>
      </c>
      <c r="G40" s="10">
        <v>3</v>
      </c>
      <c r="H40" s="23">
        <f t="shared" ref="H40:H74" si="8">G40*F40</f>
        <v>30</v>
      </c>
      <c r="I40" s="1"/>
      <c r="J40" s="113"/>
      <c r="K40" s="85" t="s">
        <v>139</v>
      </c>
      <c r="L40" s="75" t="s">
        <v>107</v>
      </c>
      <c r="M40" s="76">
        <v>600000</v>
      </c>
      <c r="N40" s="77">
        <v>8</v>
      </c>
      <c r="O40" s="77">
        <v>3</v>
      </c>
      <c r="P40" s="78">
        <f t="shared" si="1"/>
        <v>24</v>
      </c>
      <c r="Q40" s="1"/>
    </row>
    <row r="41" spans="2:17" ht="15" customHeight="1" thickBot="1">
      <c r="B41" s="112"/>
      <c r="C41" s="119"/>
      <c r="D41" s="2" t="s">
        <v>30</v>
      </c>
      <c r="E41" s="22">
        <v>350000</v>
      </c>
      <c r="F41" s="10">
        <v>12</v>
      </c>
      <c r="G41" s="10">
        <v>3</v>
      </c>
      <c r="H41" s="23">
        <f t="shared" si="8"/>
        <v>36</v>
      </c>
      <c r="I41" s="1"/>
      <c r="Q41" s="1"/>
    </row>
    <row r="42" spans="2:17" ht="16.5" customHeight="1">
      <c r="B42" s="112"/>
      <c r="C42" s="119"/>
      <c r="D42" s="2" t="s">
        <v>34</v>
      </c>
      <c r="E42" s="22">
        <v>400000</v>
      </c>
      <c r="F42" s="10">
        <v>8</v>
      </c>
      <c r="G42" s="10">
        <v>3</v>
      </c>
      <c r="H42" s="23">
        <f t="shared" si="8"/>
        <v>24</v>
      </c>
      <c r="I42" s="1"/>
      <c r="J42" s="131" t="s">
        <v>8</v>
      </c>
      <c r="K42" s="151" t="s">
        <v>9</v>
      </c>
      <c r="L42" s="151" t="s">
        <v>10</v>
      </c>
      <c r="M42" s="127" t="s">
        <v>11</v>
      </c>
      <c r="N42" s="127" t="s">
        <v>12</v>
      </c>
      <c r="O42" s="127" t="s">
        <v>13</v>
      </c>
      <c r="P42" s="129" t="s">
        <v>14</v>
      </c>
      <c r="Q42" s="1"/>
    </row>
    <row r="43" spans="2:17" ht="16.5" customHeight="1" thickBot="1">
      <c r="B43" s="112"/>
      <c r="C43" s="115"/>
      <c r="D43" s="2" t="s">
        <v>37</v>
      </c>
      <c r="E43" s="22">
        <v>400000</v>
      </c>
      <c r="F43" s="10">
        <v>8</v>
      </c>
      <c r="G43" s="10">
        <v>3</v>
      </c>
      <c r="H43" s="23">
        <f t="shared" si="8"/>
        <v>24</v>
      </c>
      <c r="I43" s="1"/>
      <c r="J43" s="132"/>
      <c r="K43" s="152"/>
      <c r="L43" s="152"/>
      <c r="M43" s="153"/>
      <c r="N43" s="153"/>
      <c r="O43" s="153"/>
      <c r="P43" s="150"/>
      <c r="Q43" s="1"/>
    </row>
    <row r="44" spans="2:17" ht="16.5" customHeight="1">
      <c r="B44" s="112"/>
      <c r="C44" s="38" t="s">
        <v>32</v>
      </c>
      <c r="D44" s="8" t="s">
        <v>42</v>
      </c>
      <c r="E44" s="30">
        <v>500000</v>
      </c>
      <c r="F44" s="9">
        <v>8</v>
      </c>
      <c r="G44" s="9">
        <v>3</v>
      </c>
      <c r="H44" s="31">
        <f t="shared" si="8"/>
        <v>24</v>
      </c>
      <c r="I44" s="1"/>
      <c r="J44" s="157" t="s">
        <v>27</v>
      </c>
      <c r="K44" s="160" t="s">
        <v>130</v>
      </c>
      <c r="L44" s="24" t="s">
        <v>31</v>
      </c>
      <c r="M44" s="25">
        <v>300000</v>
      </c>
      <c r="N44" s="26">
        <v>10</v>
      </c>
      <c r="O44" s="27" t="s">
        <v>28</v>
      </c>
      <c r="P44" s="28">
        <f>N44*O44</f>
        <v>30</v>
      </c>
      <c r="Q44" s="1"/>
    </row>
    <row r="45" spans="2:17" ht="16.5" customHeight="1">
      <c r="B45" s="112"/>
      <c r="C45" s="108" t="s">
        <v>129</v>
      </c>
      <c r="D45" s="33" t="s">
        <v>20</v>
      </c>
      <c r="E45" s="34">
        <v>350000</v>
      </c>
      <c r="F45" s="35">
        <v>8</v>
      </c>
      <c r="G45" s="35">
        <v>3</v>
      </c>
      <c r="H45" s="43">
        <f t="shared" si="8"/>
        <v>24</v>
      </c>
      <c r="I45" s="1"/>
      <c r="J45" s="158"/>
      <c r="K45" s="161"/>
      <c r="L45" s="24" t="s">
        <v>35</v>
      </c>
      <c r="M45" s="25">
        <v>300000</v>
      </c>
      <c r="N45" s="26">
        <v>10</v>
      </c>
      <c r="O45" s="27" t="s">
        <v>28</v>
      </c>
      <c r="P45" s="28">
        <f t="shared" ref="P45:P57" si="9">N45*O45</f>
        <v>30</v>
      </c>
      <c r="Q45" s="1"/>
    </row>
    <row r="46" spans="2:17" ht="16.5" customHeight="1">
      <c r="B46" s="112"/>
      <c r="C46" s="109"/>
      <c r="D46" s="33" t="s">
        <v>21</v>
      </c>
      <c r="E46" s="34">
        <v>400000</v>
      </c>
      <c r="F46" s="35">
        <v>8</v>
      </c>
      <c r="G46" s="35">
        <v>3</v>
      </c>
      <c r="H46" s="43">
        <f t="shared" si="8"/>
        <v>24</v>
      </c>
      <c r="J46" s="158"/>
      <c r="K46" s="162"/>
      <c r="L46" s="2" t="s">
        <v>38</v>
      </c>
      <c r="M46" s="22">
        <v>350000</v>
      </c>
      <c r="N46" s="10">
        <v>10</v>
      </c>
      <c r="O46" s="32" t="s">
        <v>28</v>
      </c>
      <c r="P46" s="28">
        <f t="shared" si="9"/>
        <v>30</v>
      </c>
    </row>
    <row r="47" spans="2:17" ht="16.5" customHeight="1">
      <c r="B47" s="112"/>
      <c r="C47" s="109"/>
      <c r="D47" s="33" t="s">
        <v>111</v>
      </c>
      <c r="E47" s="34">
        <v>350000</v>
      </c>
      <c r="F47" s="35">
        <v>8</v>
      </c>
      <c r="G47" s="35">
        <v>3</v>
      </c>
      <c r="H47" s="43">
        <f t="shared" si="8"/>
        <v>24</v>
      </c>
      <c r="J47" s="158"/>
      <c r="K47" s="163" t="s">
        <v>128</v>
      </c>
      <c r="L47" s="33" t="s">
        <v>40</v>
      </c>
      <c r="M47" s="34">
        <v>300000</v>
      </c>
      <c r="N47" s="35">
        <v>10</v>
      </c>
      <c r="O47" s="36" t="s">
        <v>41</v>
      </c>
      <c r="P47" s="37">
        <f t="shared" si="9"/>
        <v>15</v>
      </c>
    </row>
    <row r="48" spans="2:17" ht="16.5" customHeight="1">
      <c r="B48" s="112"/>
      <c r="C48" s="109"/>
      <c r="D48" s="33" t="s">
        <v>112</v>
      </c>
      <c r="E48" s="34">
        <v>350000</v>
      </c>
      <c r="F48" s="35">
        <v>8</v>
      </c>
      <c r="G48" s="35">
        <v>3</v>
      </c>
      <c r="H48" s="43">
        <f t="shared" si="8"/>
        <v>24</v>
      </c>
      <c r="J48" s="158"/>
      <c r="K48" s="164"/>
      <c r="L48" s="39" t="s">
        <v>43</v>
      </c>
      <c r="M48" s="40">
        <v>350000</v>
      </c>
      <c r="N48" s="41">
        <v>10</v>
      </c>
      <c r="O48" s="42" t="s">
        <v>41</v>
      </c>
      <c r="P48" s="37">
        <f t="shared" si="9"/>
        <v>15</v>
      </c>
    </row>
    <row r="49" spans="2:16" ht="16.5" customHeight="1">
      <c r="B49" s="112"/>
      <c r="C49" s="110"/>
      <c r="D49" s="33" t="s">
        <v>113</v>
      </c>
      <c r="E49" s="34">
        <v>350000</v>
      </c>
      <c r="F49" s="35">
        <v>6</v>
      </c>
      <c r="G49" s="35">
        <v>3</v>
      </c>
      <c r="H49" s="43">
        <f t="shared" si="8"/>
        <v>18</v>
      </c>
      <c r="J49" s="158"/>
      <c r="K49" s="165"/>
      <c r="L49" s="39" t="s">
        <v>45</v>
      </c>
      <c r="M49" s="40">
        <v>300000</v>
      </c>
      <c r="N49" s="41">
        <v>10</v>
      </c>
      <c r="O49" s="42" t="s">
        <v>41</v>
      </c>
      <c r="P49" s="37">
        <f t="shared" si="9"/>
        <v>15</v>
      </c>
    </row>
    <row r="50" spans="2:16" ht="16.5" customHeight="1">
      <c r="B50" s="112"/>
      <c r="C50" s="120" t="s">
        <v>136</v>
      </c>
      <c r="D50" s="47" t="s">
        <v>108</v>
      </c>
      <c r="E50" s="50">
        <v>400000</v>
      </c>
      <c r="F50" s="48">
        <v>8</v>
      </c>
      <c r="G50" s="48">
        <v>3</v>
      </c>
      <c r="H50" s="49">
        <f t="shared" si="8"/>
        <v>24</v>
      </c>
      <c r="J50" s="158"/>
      <c r="K50" s="166" t="s">
        <v>133</v>
      </c>
      <c r="L50" s="3" t="s">
        <v>47</v>
      </c>
      <c r="M50" s="44">
        <v>300000</v>
      </c>
      <c r="N50" s="15">
        <v>15</v>
      </c>
      <c r="O50" s="45" t="s">
        <v>41</v>
      </c>
      <c r="P50" s="46">
        <f t="shared" si="9"/>
        <v>22.5</v>
      </c>
    </row>
    <row r="51" spans="2:16" ht="16.5" customHeight="1">
      <c r="B51" s="112"/>
      <c r="C51" s="121"/>
      <c r="D51" s="47" t="s">
        <v>110</v>
      </c>
      <c r="E51" s="50">
        <v>400000</v>
      </c>
      <c r="F51" s="48">
        <v>8</v>
      </c>
      <c r="G51" s="48">
        <v>3</v>
      </c>
      <c r="H51" s="49">
        <f t="shared" si="8"/>
        <v>24</v>
      </c>
      <c r="J51" s="158"/>
      <c r="K51" s="167"/>
      <c r="L51" s="3" t="s">
        <v>49</v>
      </c>
      <c r="M51" s="44">
        <v>350000</v>
      </c>
      <c r="N51" s="15">
        <v>15</v>
      </c>
      <c r="O51" s="45" t="s">
        <v>41</v>
      </c>
      <c r="P51" s="46">
        <f t="shared" si="9"/>
        <v>22.5</v>
      </c>
    </row>
    <row r="52" spans="2:16" ht="16.5" customHeight="1">
      <c r="B52" s="112"/>
      <c r="C52" s="122"/>
      <c r="D52" s="47" t="s">
        <v>109</v>
      </c>
      <c r="E52" s="50">
        <v>400000</v>
      </c>
      <c r="F52" s="48">
        <v>8</v>
      </c>
      <c r="G52" s="48">
        <v>3</v>
      </c>
      <c r="H52" s="49">
        <f t="shared" si="8"/>
        <v>24</v>
      </c>
      <c r="J52" s="158"/>
      <c r="K52" s="167"/>
      <c r="L52" s="3" t="s">
        <v>51</v>
      </c>
      <c r="M52" s="44">
        <v>350000</v>
      </c>
      <c r="N52" s="15">
        <v>15</v>
      </c>
      <c r="O52" s="45" t="s">
        <v>41</v>
      </c>
      <c r="P52" s="46">
        <f t="shared" si="9"/>
        <v>22.5</v>
      </c>
    </row>
    <row r="53" spans="2:16" ht="16.5" customHeight="1">
      <c r="B53" s="112"/>
      <c r="C53" s="133" t="s">
        <v>132</v>
      </c>
      <c r="D53" s="5" t="s">
        <v>18</v>
      </c>
      <c r="E53" s="51">
        <v>600000</v>
      </c>
      <c r="F53" s="16">
        <v>14</v>
      </c>
      <c r="G53" s="16">
        <v>3</v>
      </c>
      <c r="H53" s="52">
        <f t="shared" si="8"/>
        <v>42</v>
      </c>
      <c r="J53" s="158"/>
      <c r="K53" s="168"/>
      <c r="L53" s="3" t="s">
        <v>124</v>
      </c>
      <c r="M53" s="44">
        <v>350000</v>
      </c>
      <c r="N53" s="15">
        <v>15</v>
      </c>
      <c r="O53" s="45" t="s">
        <v>41</v>
      </c>
      <c r="P53" s="46">
        <f t="shared" si="9"/>
        <v>22.5</v>
      </c>
    </row>
    <row r="54" spans="2:16" ht="16.5" customHeight="1">
      <c r="B54" s="112"/>
      <c r="C54" s="134"/>
      <c r="D54" s="5" t="s">
        <v>54</v>
      </c>
      <c r="E54" s="51">
        <v>400000</v>
      </c>
      <c r="F54" s="16">
        <v>8</v>
      </c>
      <c r="G54" s="16">
        <v>3</v>
      </c>
      <c r="H54" s="52">
        <f t="shared" si="8"/>
        <v>24</v>
      </c>
      <c r="J54" s="158"/>
      <c r="K54" s="169" t="s">
        <v>137</v>
      </c>
      <c r="L54" s="17" t="s">
        <v>55</v>
      </c>
      <c r="M54" s="53">
        <v>350000</v>
      </c>
      <c r="N54" s="11">
        <v>8</v>
      </c>
      <c r="O54" s="11">
        <v>3</v>
      </c>
      <c r="P54" s="13">
        <f t="shared" si="9"/>
        <v>24</v>
      </c>
    </row>
    <row r="55" spans="2:16" ht="16.5" customHeight="1">
      <c r="B55" s="112"/>
      <c r="C55" s="134"/>
      <c r="D55" s="5" t="s">
        <v>58</v>
      </c>
      <c r="E55" s="51">
        <v>400000</v>
      </c>
      <c r="F55" s="16">
        <v>8</v>
      </c>
      <c r="G55" s="16">
        <v>3</v>
      </c>
      <c r="H55" s="52">
        <f t="shared" si="8"/>
        <v>24</v>
      </c>
      <c r="J55" s="158"/>
      <c r="K55" s="170"/>
      <c r="L55" s="17" t="s">
        <v>16</v>
      </c>
      <c r="M55" s="53">
        <v>350000</v>
      </c>
      <c r="N55" s="11">
        <v>15</v>
      </c>
      <c r="O55" s="12" t="s">
        <v>41</v>
      </c>
      <c r="P55" s="13">
        <f t="shared" si="9"/>
        <v>22.5</v>
      </c>
    </row>
    <row r="56" spans="2:16" ht="16.5" customHeight="1">
      <c r="B56" s="112"/>
      <c r="C56" s="134"/>
      <c r="D56" s="5" t="s">
        <v>61</v>
      </c>
      <c r="E56" s="51">
        <v>400000</v>
      </c>
      <c r="F56" s="16">
        <v>8</v>
      </c>
      <c r="G56" s="16">
        <v>3</v>
      </c>
      <c r="H56" s="52">
        <f t="shared" si="8"/>
        <v>24</v>
      </c>
      <c r="J56" s="158"/>
      <c r="K56" s="170"/>
      <c r="L56" s="17" t="s">
        <v>62</v>
      </c>
      <c r="M56" s="53">
        <v>350000</v>
      </c>
      <c r="N56" s="11">
        <v>15</v>
      </c>
      <c r="O56" s="12" t="s">
        <v>41</v>
      </c>
      <c r="P56" s="13">
        <f t="shared" si="9"/>
        <v>22.5</v>
      </c>
    </row>
    <row r="57" spans="2:16" ht="16.5" customHeight="1">
      <c r="B57" s="112"/>
      <c r="C57" s="134"/>
      <c r="D57" s="5" t="s">
        <v>114</v>
      </c>
      <c r="E57" s="51">
        <v>400000</v>
      </c>
      <c r="F57" s="16">
        <v>8</v>
      </c>
      <c r="G57" s="16">
        <v>3</v>
      </c>
      <c r="H57" s="52">
        <f t="shared" si="8"/>
        <v>24</v>
      </c>
      <c r="J57" s="158"/>
      <c r="K57" s="171"/>
      <c r="L57" s="17" t="s">
        <v>125</v>
      </c>
      <c r="M57" s="53">
        <v>450000</v>
      </c>
      <c r="N57" s="11">
        <v>15</v>
      </c>
      <c r="O57" s="12" t="s">
        <v>41</v>
      </c>
      <c r="P57" s="13">
        <f t="shared" si="9"/>
        <v>22.5</v>
      </c>
    </row>
    <row r="58" spans="2:16" ht="16.5" customHeight="1">
      <c r="B58" s="112"/>
      <c r="C58" s="134"/>
      <c r="D58" s="5" t="s">
        <v>141</v>
      </c>
      <c r="E58" s="51">
        <v>400000</v>
      </c>
      <c r="F58" s="16">
        <v>10</v>
      </c>
      <c r="G58" s="16">
        <v>3</v>
      </c>
      <c r="H58" s="52">
        <f t="shared" si="8"/>
        <v>30</v>
      </c>
      <c r="J58" s="158"/>
      <c r="K58" s="172" t="s">
        <v>134</v>
      </c>
      <c r="L58" s="54" t="s">
        <v>64</v>
      </c>
      <c r="M58" s="55">
        <v>400000</v>
      </c>
      <c r="N58" s="56">
        <v>8</v>
      </c>
      <c r="O58" s="54">
        <v>3</v>
      </c>
      <c r="P58" s="57">
        <f t="shared" ref="P58:P61" si="10">O58*N58</f>
        <v>24</v>
      </c>
    </row>
    <row r="59" spans="2:16" ht="16.5" customHeight="1">
      <c r="B59" s="112"/>
      <c r="C59" s="134"/>
      <c r="D59" s="5" t="s">
        <v>115</v>
      </c>
      <c r="E59" s="51">
        <v>400000</v>
      </c>
      <c r="F59" s="16">
        <v>10</v>
      </c>
      <c r="G59" s="16">
        <v>3</v>
      </c>
      <c r="H59" s="52">
        <f t="shared" si="8"/>
        <v>30</v>
      </c>
      <c r="J59" s="158"/>
      <c r="K59" s="173"/>
      <c r="L59" s="58" t="s">
        <v>65</v>
      </c>
      <c r="M59" s="59">
        <v>400000</v>
      </c>
      <c r="N59" s="60">
        <v>15</v>
      </c>
      <c r="O59" s="58">
        <v>1.5</v>
      </c>
      <c r="P59" s="61">
        <f t="shared" si="10"/>
        <v>22.5</v>
      </c>
    </row>
    <row r="60" spans="2:16" ht="16.5" customHeight="1">
      <c r="B60" s="112"/>
      <c r="C60" s="134"/>
      <c r="D60" s="5" t="s">
        <v>116</v>
      </c>
      <c r="E60" s="51">
        <v>400000</v>
      </c>
      <c r="F60" s="16">
        <v>10</v>
      </c>
      <c r="G60" s="16">
        <v>3</v>
      </c>
      <c r="H60" s="52">
        <f t="shared" si="8"/>
        <v>30</v>
      </c>
      <c r="J60" s="158"/>
      <c r="K60" s="173"/>
      <c r="L60" s="58" t="s">
        <v>68</v>
      </c>
      <c r="M60" s="59">
        <v>400000</v>
      </c>
      <c r="N60" s="60">
        <v>15</v>
      </c>
      <c r="O60" s="58">
        <v>1.5</v>
      </c>
      <c r="P60" s="61">
        <f t="shared" si="10"/>
        <v>22.5</v>
      </c>
    </row>
    <row r="61" spans="2:16" ht="16.5" customHeight="1" thickBot="1">
      <c r="B61" s="112"/>
      <c r="C61" s="134"/>
      <c r="D61" s="5" t="s">
        <v>67</v>
      </c>
      <c r="E61" s="51">
        <v>300000</v>
      </c>
      <c r="F61" s="16">
        <v>8</v>
      </c>
      <c r="G61" s="16">
        <v>3</v>
      </c>
      <c r="H61" s="52">
        <f t="shared" si="8"/>
        <v>24</v>
      </c>
      <c r="J61" s="159"/>
      <c r="K61" s="174"/>
      <c r="L61" s="80" t="s">
        <v>146</v>
      </c>
      <c r="M61" s="81">
        <v>500000</v>
      </c>
      <c r="N61" s="83">
        <v>20</v>
      </c>
      <c r="O61" s="80">
        <v>1.5</v>
      </c>
      <c r="P61" s="84">
        <f t="shared" si="10"/>
        <v>30</v>
      </c>
    </row>
    <row r="62" spans="2:16" ht="16.5" customHeight="1">
      <c r="B62" s="112"/>
      <c r="C62" s="134"/>
      <c r="D62" s="5" t="s">
        <v>71</v>
      </c>
      <c r="E62" s="51">
        <v>450000</v>
      </c>
      <c r="F62" s="16">
        <v>8</v>
      </c>
      <c r="G62" s="16">
        <v>4</v>
      </c>
      <c r="H62" s="52">
        <f t="shared" si="8"/>
        <v>32</v>
      </c>
    </row>
    <row r="63" spans="2:16" ht="16.5" customHeight="1">
      <c r="B63" s="112"/>
      <c r="C63" s="134"/>
      <c r="D63" s="5" t="s">
        <v>73</v>
      </c>
      <c r="E63" s="51">
        <v>450000</v>
      </c>
      <c r="F63" s="16">
        <v>10</v>
      </c>
      <c r="G63" s="16">
        <v>4</v>
      </c>
      <c r="H63" s="52">
        <f t="shared" si="8"/>
        <v>40</v>
      </c>
    </row>
    <row r="64" spans="2:16" ht="16.5" customHeight="1">
      <c r="B64" s="112"/>
      <c r="C64" s="134"/>
      <c r="D64" s="5" t="s">
        <v>75</v>
      </c>
      <c r="E64" s="51">
        <v>450000</v>
      </c>
      <c r="F64" s="16">
        <v>10</v>
      </c>
      <c r="G64" s="16">
        <v>4</v>
      </c>
      <c r="H64" s="52">
        <f t="shared" si="8"/>
        <v>40</v>
      </c>
    </row>
    <row r="65" spans="2:8" ht="16.5" customHeight="1">
      <c r="B65" s="112"/>
      <c r="C65" s="135"/>
      <c r="D65" s="5" t="s">
        <v>76</v>
      </c>
      <c r="E65" s="51">
        <v>450000</v>
      </c>
      <c r="F65" s="16">
        <v>10</v>
      </c>
      <c r="G65" s="16">
        <v>4</v>
      </c>
      <c r="H65" s="52">
        <f t="shared" si="8"/>
        <v>40</v>
      </c>
    </row>
    <row r="66" spans="2:8" ht="16.5" customHeight="1">
      <c r="B66" s="112"/>
      <c r="C66" s="136" t="s">
        <v>138</v>
      </c>
      <c r="D66" s="6" t="s">
        <v>78</v>
      </c>
      <c r="E66" s="62">
        <v>400000</v>
      </c>
      <c r="F66" s="14">
        <v>6</v>
      </c>
      <c r="G66" s="14">
        <v>4</v>
      </c>
      <c r="H66" s="63">
        <f t="shared" si="8"/>
        <v>24</v>
      </c>
    </row>
    <row r="67" spans="2:8" ht="16.5" customHeight="1">
      <c r="B67" s="112"/>
      <c r="C67" s="137"/>
      <c r="D67" s="6" t="s">
        <v>79</v>
      </c>
      <c r="E67" s="62">
        <v>450000</v>
      </c>
      <c r="F67" s="14">
        <v>8</v>
      </c>
      <c r="G67" s="14">
        <v>3</v>
      </c>
      <c r="H67" s="63">
        <f t="shared" si="8"/>
        <v>24</v>
      </c>
    </row>
    <row r="68" spans="2:8" ht="16.5" customHeight="1">
      <c r="B68" s="112"/>
      <c r="C68" s="137"/>
      <c r="D68" s="6" t="s">
        <v>81</v>
      </c>
      <c r="E68" s="62">
        <v>450000</v>
      </c>
      <c r="F68" s="14">
        <v>8</v>
      </c>
      <c r="G68" s="14">
        <v>3</v>
      </c>
      <c r="H68" s="63">
        <f t="shared" si="8"/>
        <v>24</v>
      </c>
    </row>
    <row r="69" spans="2:8" ht="16.5" customHeight="1">
      <c r="B69" s="112"/>
      <c r="C69" s="137"/>
      <c r="D69" s="6" t="s">
        <v>117</v>
      </c>
      <c r="E69" s="62">
        <v>450000</v>
      </c>
      <c r="F69" s="14">
        <v>8</v>
      </c>
      <c r="G69" s="14">
        <v>3</v>
      </c>
      <c r="H69" s="63">
        <f t="shared" si="8"/>
        <v>24</v>
      </c>
    </row>
    <row r="70" spans="2:8" ht="16.5" customHeight="1">
      <c r="B70" s="112"/>
      <c r="C70" s="137"/>
      <c r="D70" s="6" t="s">
        <v>127</v>
      </c>
      <c r="E70" s="62">
        <v>500000</v>
      </c>
      <c r="F70" s="14">
        <v>8</v>
      </c>
      <c r="G70" s="14">
        <v>2</v>
      </c>
      <c r="H70" s="63">
        <f t="shared" si="8"/>
        <v>16</v>
      </c>
    </row>
    <row r="71" spans="2:8" ht="16.5" customHeight="1">
      <c r="B71" s="112"/>
      <c r="C71" s="138"/>
      <c r="D71" s="6" t="s">
        <v>82</v>
      </c>
      <c r="E71" s="62">
        <v>500000</v>
      </c>
      <c r="F71" s="14">
        <v>8</v>
      </c>
      <c r="G71" s="14">
        <v>3</v>
      </c>
      <c r="H71" s="63">
        <f t="shared" si="8"/>
        <v>24</v>
      </c>
    </row>
    <row r="72" spans="2:8" ht="16.5" customHeight="1">
      <c r="B72" s="112"/>
      <c r="C72" s="139" t="s">
        <v>134</v>
      </c>
      <c r="D72" s="58" t="s">
        <v>118</v>
      </c>
      <c r="E72" s="59">
        <v>400000</v>
      </c>
      <c r="F72" s="60">
        <v>8</v>
      </c>
      <c r="G72" s="60">
        <v>3</v>
      </c>
      <c r="H72" s="68">
        <f t="shared" si="8"/>
        <v>24</v>
      </c>
    </row>
    <row r="73" spans="2:8" ht="13.5" customHeight="1">
      <c r="B73" s="112"/>
      <c r="C73" s="140"/>
      <c r="D73" s="58" t="s">
        <v>119</v>
      </c>
      <c r="E73" s="59">
        <v>400000</v>
      </c>
      <c r="F73" s="60">
        <v>8</v>
      </c>
      <c r="G73" s="60">
        <v>3</v>
      </c>
      <c r="H73" s="68">
        <f t="shared" si="8"/>
        <v>24</v>
      </c>
    </row>
    <row r="74" spans="2:8" ht="14.25" customHeight="1">
      <c r="B74" s="112"/>
      <c r="C74" s="141"/>
      <c r="D74" s="58" t="s">
        <v>83</v>
      </c>
      <c r="E74" s="59">
        <v>400000</v>
      </c>
      <c r="F74" s="60">
        <v>8</v>
      </c>
      <c r="G74" s="60">
        <v>3</v>
      </c>
      <c r="H74" s="68">
        <f t="shared" si="8"/>
        <v>24</v>
      </c>
    </row>
    <row r="75" spans="2:8" ht="14.25" customHeight="1">
      <c r="B75" s="112"/>
      <c r="C75" s="142" t="s">
        <v>139</v>
      </c>
      <c r="D75" s="86" t="s">
        <v>107</v>
      </c>
      <c r="E75" s="87">
        <v>600000</v>
      </c>
      <c r="F75" s="88">
        <v>8</v>
      </c>
      <c r="G75" s="88">
        <v>3</v>
      </c>
      <c r="H75" s="89">
        <f t="shared" ref="H75" si="11">F75*G75</f>
        <v>24</v>
      </c>
    </row>
    <row r="76" spans="2:8" ht="14.25" customHeight="1" thickBot="1">
      <c r="B76" s="113"/>
      <c r="C76" s="143"/>
      <c r="D76" s="90" t="s">
        <v>157</v>
      </c>
      <c r="E76" s="91">
        <v>600000</v>
      </c>
      <c r="F76" s="92">
        <v>8</v>
      </c>
      <c r="G76" s="92">
        <v>2</v>
      </c>
      <c r="H76" s="93">
        <f t="shared" ref="H76" si="12">F76*G76</f>
        <v>16</v>
      </c>
    </row>
    <row r="77" spans="2:8" ht="13.5" customHeight="1"/>
    <row r="78" spans="2:8" ht="13.5" customHeight="1"/>
    <row r="79" spans="2:8" ht="13.5" customHeight="1"/>
    <row r="80" spans="2: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4.2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4.25" customHeight="1"/>
  </sheetData>
  <mergeCells count="59">
    <mergeCell ref="G37:G38"/>
    <mergeCell ref="O42:O43"/>
    <mergeCell ref="P42:P43"/>
    <mergeCell ref="J44:J61"/>
    <mergeCell ref="K44:K46"/>
    <mergeCell ref="K47:K49"/>
    <mergeCell ref="K50:K53"/>
    <mergeCell ref="K54:K57"/>
    <mergeCell ref="K58:K61"/>
    <mergeCell ref="J42:J43"/>
    <mergeCell ref="K42:K43"/>
    <mergeCell ref="L42:L43"/>
    <mergeCell ref="M42:M43"/>
    <mergeCell ref="N42:N43"/>
    <mergeCell ref="N4:N5"/>
    <mergeCell ref="H37:H38"/>
    <mergeCell ref="B4:B5"/>
    <mergeCell ref="C4:C5"/>
    <mergeCell ref="D4:D5"/>
    <mergeCell ref="E4:E5"/>
    <mergeCell ref="F4:F5"/>
    <mergeCell ref="G4:G5"/>
    <mergeCell ref="H4:H5"/>
    <mergeCell ref="C26:C32"/>
    <mergeCell ref="C37:C38"/>
    <mergeCell ref="D37:D38"/>
    <mergeCell ref="E37:E38"/>
    <mergeCell ref="F37:F38"/>
    <mergeCell ref="C33:C34"/>
    <mergeCell ref="K38:K39"/>
    <mergeCell ref="K24:K29"/>
    <mergeCell ref="J4:J5"/>
    <mergeCell ref="K4:K5"/>
    <mergeCell ref="L4:L5"/>
    <mergeCell ref="M4:M5"/>
    <mergeCell ref="B39:B76"/>
    <mergeCell ref="C39:C43"/>
    <mergeCell ref="C45:C49"/>
    <mergeCell ref="C50:C52"/>
    <mergeCell ref="C53:C65"/>
    <mergeCell ref="C66:C71"/>
    <mergeCell ref="C72:C74"/>
    <mergeCell ref="C75:C76"/>
    <mergeCell ref="B2:P3"/>
    <mergeCell ref="K11:K13"/>
    <mergeCell ref="K14:K19"/>
    <mergeCell ref="B6:B35"/>
    <mergeCell ref="C6:C7"/>
    <mergeCell ref="C19:C25"/>
    <mergeCell ref="K6:K10"/>
    <mergeCell ref="C16:C18"/>
    <mergeCell ref="C8:C12"/>
    <mergeCell ref="C13:C15"/>
    <mergeCell ref="K30:K37"/>
    <mergeCell ref="O4:O5"/>
    <mergeCell ref="P4:P5"/>
    <mergeCell ref="B37:B38"/>
    <mergeCell ref="J6:J40"/>
    <mergeCell ref="K20:K23"/>
  </mergeCells>
  <phoneticPr fontId="3" type="noConversion"/>
  <pageMargins left="0.25" right="0.25" top="0.75" bottom="0.75" header="0.3" footer="0.3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4"/>
  <sheetViews>
    <sheetView zoomScaleNormal="100" workbookViewId="0"/>
  </sheetViews>
  <sheetFormatPr defaultRowHeight="16.5"/>
  <cols>
    <col min="1" max="1" width="5.6640625" style="7" customWidth="1"/>
    <col min="2" max="9" width="10.33203125" style="7" customWidth="1"/>
    <col min="10" max="16384" width="8.88671875" style="7"/>
  </cols>
  <sheetData>
    <row r="1" spans="2:9" ht="17.25" thickBot="1"/>
    <row r="2" spans="2:9" ht="17.25" customHeight="1">
      <c r="B2" s="195" t="s">
        <v>148</v>
      </c>
      <c r="C2" s="196"/>
      <c r="D2" s="196"/>
      <c r="E2" s="196"/>
      <c r="F2" s="196"/>
      <c r="G2" s="196"/>
      <c r="H2" s="196"/>
      <c r="I2" s="197"/>
    </row>
    <row r="3" spans="2:9" ht="17.25" customHeight="1" thickBot="1">
      <c r="B3" s="198"/>
      <c r="C3" s="199"/>
      <c r="D3" s="199"/>
      <c r="E3" s="199"/>
      <c r="F3" s="199"/>
      <c r="G3" s="199"/>
      <c r="H3" s="199"/>
      <c r="I3" s="200"/>
    </row>
    <row r="4" spans="2:9" ht="17.25" customHeight="1" thickTop="1">
      <c r="B4" s="226" t="s">
        <v>0</v>
      </c>
      <c r="C4" s="227"/>
      <c r="D4" s="227"/>
      <c r="E4" s="227"/>
      <c r="F4" s="201" t="s">
        <v>84</v>
      </c>
      <c r="G4" s="202"/>
      <c r="H4" s="203" t="s">
        <v>85</v>
      </c>
      <c r="I4" s="204"/>
    </row>
    <row r="5" spans="2:9" ht="16.5" customHeight="1">
      <c r="B5" s="228" t="s">
        <v>1</v>
      </c>
      <c r="C5" s="205" t="s">
        <v>86</v>
      </c>
      <c r="D5" s="206"/>
      <c r="E5" s="207"/>
      <c r="F5" s="211" t="s">
        <v>87</v>
      </c>
      <c r="G5" s="212"/>
      <c r="H5" s="215" t="s">
        <v>88</v>
      </c>
      <c r="I5" s="216"/>
    </row>
    <row r="6" spans="2:9">
      <c r="B6" s="229"/>
      <c r="C6" s="208"/>
      <c r="D6" s="209"/>
      <c r="E6" s="210"/>
      <c r="F6" s="211"/>
      <c r="G6" s="212"/>
      <c r="H6" s="217"/>
      <c r="I6" s="216"/>
    </row>
    <row r="7" spans="2:9" ht="16.5" customHeight="1">
      <c r="B7" s="229"/>
      <c r="C7" s="220" t="s">
        <v>89</v>
      </c>
      <c r="D7" s="221"/>
      <c r="E7" s="222"/>
      <c r="F7" s="211"/>
      <c r="G7" s="212"/>
      <c r="H7" s="217"/>
      <c r="I7" s="216"/>
    </row>
    <row r="8" spans="2:9" ht="17.25" thickBot="1">
      <c r="B8" s="230"/>
      <c r="C8" s="223"/>
      <c r="D8" s="224"/>
      <c r="E8" s="225"/>
      <c r="F8" s="213"/>
      <c r="G8" s="214"/>
      <c r="H8" s="218"/>
      <c r="I8" s="219"/>
    </row>
    <row r="9" spans="2:9" ht="17.25" thickTop="1">
      <c r="B9" s="226" t="s">
        <v>0</v>
      </c>
      <c r="C9" s="227"/>
      <c r="D9" s="227"/>
      <c r="E9" s="227"/>
      <c r="F9" s="201" t="s">
        <v>144</v>
      </c>
      <c r="G9" s="202"/>
      <c r="H9" s="249" t="s">
        <v>145</v>
      </c>
      <c r="I9" s="250"/>
    </row>
    <row r="10" spans="2:9" ht="16.5" customHeight="1">
      <c r="B10" s="251" t="s">
        <v>2</v>
      </c>
      <c r="C10" s="175" t="s">
        <v>3</v>
      </c>
      <c r="D10" s="176"/>
      <c r="E10" s="69">
        <v>0</v>
      </c>
      <c r="F10" s="234">
        <v>0.05</v>
      </c>
      <c r="G10" s="235"/>
      <c r="H10" s="182">
        <v>0.1</v>
      </c>
      <c r="I10" s="183"/>
    </row>
    <row r="11" spans="2:9">
      <c r="B11" s="251"/>
      <c r="C11" s="175" t="s">
        <v>4</v>
      </c>
      <c r="D11" s="176"/>
      <c r="E11" s="69">
        <v>0.1</v>
      </c>
      <c r="F11" s="211"/>
      <c r="G11" s="212"/>
      <c r="H11" s="184"/>
      <c r="I11" s="185"/>
    </row>
    <row r="12" spans="2:9">
      <c r="B12" s="251"/>
      <c r="C12" s="175" t="s">
        <v>5</v>
      </c>
      <c r="D12" s="176"/>
      <c r="E12" s="69">
        <v>0.15</v>
      </c>
      <c r="F12" s="211"/>
      <c r="G12" s="212"/>
      <c r="H12" s="184"/>
      <c r="I12" s="185"/>
    </row>
    <row r="13" spans="2:9">
      <c r="B13" s="251"/>
      <c r="C13" s="175" t="s">
        <v>6</v>
      </c>
      <c r="D13" s="176"/>
      <c r="E13" s="69">
        <v>0.2</v>
      </c>
      <c r="F13" s="211"/>
      <c r="G13" s="212"/>
      <c r="H13" s="184"/>
      <c r="I13" s="185"/>
    </row>
    <row r="14" spans="2:9" ht="17.25" thickBot="1">
      <c r="B14" s="252"/>
      <c r="C14" s="244" t="s">
        <v>7</v>
      </c>
      <c r="D14" s="245"/>
      <c r="E14" s="70">
        <v>0.25</v>
      </c>
      <c r="F14" s="213"/>
      <c r="G14" s="214"/>
      <c r="H14" s="186"/>
      <c r="I14" s="187"/>
    </row>
    <row r="15" spans="2:9" ht="17.25" thickTop="1">
      <c r="B15" s="236" t="s">
        <v>0</v>
      </c>
      <c r="C15" s="237"/>
      <c r="D15" s="237"/>
      <c r="E15" s="237"/>
      <c r="F15" s="237"/>
      <c r="G15" s="237"/>
      <c r="H15" s="237"/>
      <c r="I15" s="238"/>
    </row>
    <row r="16" spans="2:9" ht="30" customHeight="1">
      <c r="B16" s="239" t="s">
        <v>143</v>
      </c>
      <c r="C16" s="188" t="s">
        <v>142</v>
      </c>
      <c r="D16" s="189"/>
      <c r="E16" s="69">
        <v>0.3</v>
      </c>
      <c r="F16" s="240" t="s">
        <v>90</v>
      </c>
      <c r="G16" s="240"/>
      <c r="H16" s="240"/>
      <c r="I16" s="241"/>
    </row>
    <row r="17" spans="2:9" ht="30" customHeight="1" thickBot="1">
      <c r="B17" s="239"/>
      <c r="C17" s="175" t="s">
        <v>149</v>
      </c>
      <c r="D17" s="176"/>
      <c r="E17" s="69">
        <v>0.4</v>
      </c>
      <c r="F17" s="242"/>
      <c r="G17" s="242"/>
      <c r="H17" s="242"/>
      <c r="I17" s="243"/>
    </row>
    <row r="18" spans="2:9" ht="17.25" thickTop="1">
      <c r="B18" s="236" t="s">
        <v>147</v>
      </c>
      <c r="C18" s="237"/>
      <c r="D18" s="237"/>
      <c r="E18" s="237"/>
      <c r="F18" s="237"/>
      <c r="G18" s="237"/>
      <c r="H18" s="237"/>
      <c r="I18" s="238"/>
    </row>
    <row r="19" spans="2:9" ht="56.25" customHeight="1" thickBot="1">
      <c r="B19" s="246" t="s">
        <v>151</v>
      </c>
      <c r="C19" s="247"/>
      <c r="D19" s="247"/>
      <c r="E19" s="247"/>
      <c r="F19" s="247"/>
      <c r="G19" s="247"/>
      <c r="H19" s="247"/>
      <c r="I19" s="248"/>
    </row>
    <row r="20" spans="2:9" ht="17.25" thickTop="1">
      <c r="B20" s="190" t="s">
        <v>150</v>
      </c>
      <c r="C20" s="191"/>
      <c r="D20" s="191"/>
      <c r="E20" s="191"/>
      <c r="F20" s="191"/>
      <c r="G20" s="191"/>
      <c r="H20" s="191"/>
      <c r="I20" s="192"/>
    </row>
    <row r="21" spans="2:9" ht="37.5" customHeight="1" thickBot="1">
      <c r="B21" s="82" t="s">
        <v>152</v>
      </c>
      <c r="C21" s="177" t="s">
        <v>153</v>
      </c>
      <c r="D21" s="178"/>
      <c r="E21" s="179"/>
      <c r="F21" s="180" t="s">
        <v>154</v>
      </c>
      <c r="G21" s="193"/>
      <c r="H21" s="193"/>
      <c r="I21" s="194"/>
    </row>
    <row r="22" spans="2:9" ht="17.25" thickTop="1">
      <c r="B22" s="190" t="s">
        <v>91</v>
      </c>
      <c r="C22" s="191"/>
      <c r="D22" s="191"/>
      <c r="E22" s="191"/>
      <c r="F22" s="191"/>
      <c r="G22" s="191"/>
      <c r="H22" s="191"/>
      <c r="I22" s="192"/>
    </row>
    <row r="23" spans="2:9" ht="60.75" customHeight="1" thickBot="1">
      <c r="B23" s="82" t="s">
        <v>92</v>
      </c>
      <c r="C23" s="177" t="s">
        <v>93</v>
      </c>
      <c r="D23" s="178"/>
      <c r="E23" s="179"/>
      <c r="F23" s="180" t="s">
        <v>155</v>
      </c>
      <c r="G23" s="180"/>
      <c r="H23" s="180"/>
      <c r="I23" s="181"/>
    </row>
    <row r="24" spans="2:9" ht="17.25" thickBot="1">
      <c r="B24" s="231" t="s">
        <v>94</v>
      </c>
      <c r="C24" s="232"/>
      <c r="D24" s="232"/>
      <c r="E24" s="232"/>
      <c r="F24" s="232"/>
      <c r="G24" s="232"/>
      <c r="H24" s="232"/>
      <c r="I24" s="233"/>
    </row>
  </sheetData>
  <mergeCells count="34">
    <mergeCell ref="B24:I24"/>
    <mergeCell ref="F9:G9"/>
    <mergeCell ref="F10:G14"/>
    <mergeCell ref="B15:I15"/>
    <mergeCell ref="B16:B17"/>
    <mergeCell ref="F16:I17"/>
    <mergeCell ref="C11:D11"/>
    <mergeCell ref="C12:D12"/>
    <mergeCell ref="C13:D13"/>
    <mergeCell ref="C14:D14"/>
    <mergeCell ref="B18:I18"/>
    <mergeCell ref="B19:I19"/>
    <mergeCell ref="B22:I22"/>
    <mergeCell ref="H9:I9"/>
    <mergeCell ref="B9:E9"/>
    <mergeCell ref="B10:B14"/>
    <mergeCell ref="B2:I3"/>
    <mergeCell ref="F4:G4"/>
    <mergeCell ref="H4:I4"/>
    <mergeCell ref="C5:E6"/>
    <mergeCell ref="F5:G8"/>
    <mergeCell ref="H5:I8"/>
    <mergeCell ref="C7:E8"/>
    <mergeCell ref="B4:E4"/>
    <mergeCell ref="B5:B8"/>
    <mergeCell ref="C10:D10"/>
    <mergeCell ref="C23:E23"/>
    <mergeCell ref="F23:I23"/>
    <mergeCell ref="H10:I14"/>
    <mergeCell ref="C17:D17"/>
    <mergeCell ref="C16:D16"/>
    <mergeCell ref="B20:I20"/>
    <mergeCell ref="C21:E21"/>
    <mergeCell ref="F21:I2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수강료</vt:lpstr>
      <vt:lpstr>할인율</vt:lpstr>
      <vt:lpstr>할인율!Print_Area</vt:lpstr>
    </vt:vector>
  </TitlesOfParts>
  <Company>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cp:lastPrinted>2023-08-02T02:23:05Z</cp:lastPrinted>
  <dcterms:created xsi:type="dcterms:W3CDTF">2009-05-15T06:34:19Z</dcterms:created>
  <dcterms:modified xsi:type="dcterms:W3CDTF">2026-04-01T06:41:38Z</dcterms:modified>
</cp:coreProperties>
</file>