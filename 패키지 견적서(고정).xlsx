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825" firstSheet="0" activeTab="0" autoFilterDateGrouping="1"/>
  </bookViews>
  <sheets>
    <sheet xmlns:r="http://schemas.openxmlformats.org/officeDocument/2006/relationships" name="견적서" sheetId="1" state="visible" r:id="rId1"/>
    <sheet xmlns:r="http://schemas.openxmlformats.org/officeDocument/2006/relationships" name="Sheet1" sheetId="2" state="visible" r:id="rId2"/>
  </sheets>
  <definedNames>
    <definedName name="온라인강의_1년_프리패스">#REF!</definedName>
    <definedName name="온라인강의_2년_프리패스">#REF!</definedName>
    <definedName name="온라인강의_3개월_프리패스">#REF!</definedName>
    <definedName name="온라인강의_3년_프리패스">#REF!</definedName>
    <definedName name="온라인강의_IT_1년_패키지">#REF!</definedName>
    <definedName name="온라인강의_OA_1년_패키지">#REF!</definedName>
    <definedName name="온라인강의_평생_프리패스">#REF!</definedName>
    <definedName name="_xlnm.Print_Area" localSheetId="0">'견적서'!$A$1:$E$57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_-;\-* #,##0_-;_-* &quot;-&quot;_-;_-@_-"/>
    <numFmt numFmtId="165" formatCode="#,##0_);[Red]\(#,##0\)"/>
    <numFmt numFmtId="166" formatCode="[$-F800]dddd\,\ mmmm\ dd\,\ yyyy"/>
    <numFmt numFmtId="167" formatCode="&quot;(&quot;&quot;무&quot;&quot;료&quot;&quot;과&quot;&quot;목&quot;&quot;)&quot;"/>
    <numFmt numFmtId="168" formatCode="#&quot;개&quot;&quot;월&quot;"/>
    <numFmt numFmtId="169" formatCode="_-* #,##0_-;\-* #,##0_-;_-* &quot;-&quot;??_-;_-@_-"/>
  </numFmts>
  <fonts count="3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sz val="8"/>
    </font>
    <font>
      <name val="굴림"/>
      <charset val="129"/>
      <family val="3"/>
      <b val="1"/>
      <sz val="9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8"/>
    </font>
    <font>
      <name val="굴림"/>
      <charset val="129"/>
      <family val="3"/>
      <sz val="9"/>
    </font>
    <font>
      <name val="굴림"/>
      <charset val="129"/>
      <family val="3"/>
      <sz val="7"/>
    </font>
    <font>
      <name val="굴림"/>
      <charset val="129"/>
      <family val="3"/>
      <sz val="10"/>
    </font>
    <font>
      <name val="굴림"/>
      <charset val="129"/>
      <family val="3"/>
      <b val="1"/>
      <sz val="22"/>
    </font>
    <font>
      <name val="맑은 고딕"/>
      <charset val="129"/>
      <family val="3"/>
      <b val="1"/>
      <sz val="9"/>
      <scheme val="major"/>
    </font>
    <font>
      <name val="굴림"/>
      <charset val="129"/>
      <family val="3"/>
      <b val="1"/>
      <sz val="24"/>
    </font>
    <font>
      <name val="맑은 고딕"/>
      <charset val="129"/>
      <family val="3"/>
      <b val="1"/>
      <color rgb="FF000000"/>
      <sz val="9"/>
      <scheme val="major"/>
    </font>
    <font>
      <name val="돋움"/>
      <charset val="129"/>
      <family val="3"/>
      <sz val="11"/>
    </font>
    <font>
      <name val="맑은 고딕"/>
      <charset val="129"/>
      <family val="2"/>
      <color theme="1"/>
      <sz val="24"/>
      <scheme val="minor"/>
    </font>
    <font>
      <name val="돋움"/>
      <charset val="129"/>
      <family val="3"/>
      <color theme="1"/>
      <sz val="10"/>
    </font>
    <font>
      <name val="돋움"/>
      <charset val="129"/>
      <family val="3"/>
      <b val="1"/>
      <color theme="1"/>
      <sz val="10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0"/>
    </font>
    <font>
      <name val="돋움"/>
      <charset val="129"/>
      <family val="3"/>
      <b val="1"/>
      <sz val="10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11"/>
      <scheme val="minor"/>
    </font>
    <font>
      <name val="맑은 고딕"/>
      <charset val="129"/>
      <family val="3"/>
      <b val="1"/>
      <color theme="1"/>
      <sz val="28"/>
      <scheme val="minor"/>
    </font>
    <font>
      <name val="굴림"/>
      <charset val="129"/>
      <family val="3"/>
      <b val="1"/>
      <color theme="1"/>
      <sz val="8"/>
    </font>
    <font>
      <name val="HY견고딕"/>
      <charset val="129"/>
      <family val="1"/>
      <b val="1"/>
      <sz val="8"/>
    </font>
    <font>
      <name val="굴림"/>
      <charset val="129"/>
      <family val="3"/>
      <b val="1"/>
      <sz val="10"/>
    </font>
    <font>
      <name val="맑은 고딕"/>
      <charset val="129"/>
      <family val="3"/>
      <b val="1"/>
      <sz val="11"/>
      <scheme val="major"/>
    </font>
    <font>
      <name val="맑은 고딕"/>
      <charset val="129"/>
      <family val="3"/>
      <b val="1"/>
      <sz val="11"/>
      <scheme val="minor"/>
    </font>
    <font>
      <name val="굴림"/>
      <charset val="129"/>
      <family val="3"/>
      <color theme="1"/>
      <sz val="11"/>
    </font>
    <font>
      <name val="HY견고딕"/>
      <charset val="129"/>
      <family val="1"/>
      <sz val="24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22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00B0F0"/>
        <bgColor indexed="64"/>
      </patternFill>
    </fill>
  </fills>
  <borders count="7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0" fontId="16" fillId="0" borderId="0" applyAlignment="1">
      <alignment vertical="center"/>
    </xf>
    <xf numFmtId="41" fontId="16" fillId="0" borderId="0" applyAlignment="1">
      <alignment vertical="center"/>
    </xf>
  </cellStyleXfs>
  <cellXfs count="40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164" fontId="6" fillId="0" borderId="17" applyAlignment="1" pivotButton="0" quotePrefix="0" xfId="1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164" fontId="9" fillId="0" borderId="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vertical="center"/>
    </xf>
    <xf numFmtId="0" fontId="8" fillId="4" borderId="9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8" fillId="4" borderId="11" applyAlignment="1" pivotButton="0" quotePrefix="0" xfId="0">
      <alignment horizontal="center" vertical="center"/>
    </xf>
    <xf numFmtId="164" fontId="8" fillId="4" borderId="10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/>
    </xf>
    <xf numFmtId="0" fontId="13" fillId="0" borderId="29" applyAlignment="1" pivotButton="0" quotePrefix="0" xfId="0">
      <alignment horizontal="left" vertical="center"/>
    </xf>
    <xf numFmtId="0" fontId="13" fillId="0" borderId="29" applyAlignment="1" pivotButton="0" quotePrefix="0" xfId="0">
      <alignment vertical="center"/>
    </xf>
    <xf numFmtId="0" fontId="0" fillId="0" borderId="29" applyAlignment="1" pivotButton="0" quotePrefix="0" xfId="0">
      <alignment vertical="center"/>
    </xf>
    <xf numFmtId="0" fontId="15" fillId="0" borderId="29" applyAlignment="1" pivotButton="0" quotePrefix="0" xfId="0">
      <alignment vertical="center"/>
    </xf>
    <xf numFmtId="0" fontId="13" fillId="0" borderId="29" applyAlignment="1" pivotButton="0" quotePrefix="0" xfId="0">
      <alignment vertical="center"/>
    </xf>
    <xf numFmtId="0" fontId="13" fillId="0" borderId="29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vertical="center"/>
    </xf>
    <xf numFmtId="0" fontId="16" fillId="0" borderId="0" applyAlignment="1" pivotButton="0" quotePrefix="0" xfId="2">
      <alignment horizontal="center" vertical="center"/>
    </xf>
    <xf numFmtId="165" fontId="18" fillId="0" borderId="0" applyAlignment="1" pivotButton="0" quotePrefix="0" xfId="2">
      <alignment horizontal="center" vertical="center"/>
    </xf>
    <xf numFmtId="165" fontId="19" fillId="0" borderId="0" applyAlignment="1" pivotButton="0" quotePrefix="0" xfId="2">
      <alignment horizontal="center" vertical="center"/>
    </xf>
    <xf numFmtId="0" fontId="18" fillId="0" borderId="0" applyAlignment="1" pivotButton="0" quotePrefix="0" xfId="2">
      <alignment horizontal="center" vertical="center"/>
    </xf>
    <xf numFmtId="0" fontId="20" fillId="0" borderId="0" applyAlignment="1" pivotButton="0" quotePrefix="0" xfId="2">
      <alignment vertical="center"/>
    </xf>
    <xf numFmtId="165" fontId="21" fillId="0" borderId="0" applyAlignment="1" pivotButton="0" quotePrefix="0" xfId="2">
      <alignment horizontal="center" vertical="center"/>
    </xf>
    <xf numFmtId="165" fontId="22" fillId="0" borderId="0" applyAlignment="1" pivotButton="0" quotePrefix="0" xfId="2">
      <alignment horizontal="center" vertical="center"/>
    </xf>
    <xf numFmtId="0" fontId="21" fillId="0" borderId="0" applyAlignment="1" pivotButton="0" quotePrefix="0" xfId="2">
      <alignment horizontal="center" vertical="center"/>
    </xf>
    <xf numFmtId="0" fontId="23" fillId="0" borderId="0" applyAlignment="1" pivotButton="0" quotePrefix="0" xfId="2">
      <alignment vertical="center"/>
    </xf>
    <xf numFmtId="0" fontId="23" fillId="0" borderId="0" applyAlignment="1" pivotButton="0" quotePrefix="0" xfId="2">
      <alignment vertical="center" wrapText="1"/>
    </xf>
    <xf numFmtId="0" fontId="18" fillId="0" borderId="0" applyAlignment="1" pivotButton="0" quotePrefix="0" xfId="2">
      <alignment vertical="center"/>
    </xf>
    <xf numFmtId="164" fontId="22" fillId="0" borderId="0" applyAlignment="1" pivotButton="0" quotePrefix="0" xfId="3">
      <alignment horizontal="center" vertical="center"/>
    </xf>
    <xf numFmtId="0" fontId="16" fillId="0" borderId="0" applyAlignment="1" pivotButton="0" quotePrefix="0" xfId="2">
      <alignment horizontal="center" vertical="center"/>
    </xf>
    <xf numFmtId="165" fontId="21" fillId="5" borderId="32" applyAlignment="1" pivotButton="0" quotePrefix="0" xfId="2">
      <alignment horizontal="center" vertical="center"/>
    </xf>
    <xf numFmtId="165" fontId="21" fillId="5" borderId="33" applyAlignment="1" pivotButton="0" quotePrefix="0" xfId="2">
      <alignment horizontal="center" vertical="center"/>
    </xf>
    <xf numFmtId="164" fontId="22" fillId="5" borderId="33" applyAlignment="1" pivotButton="0" quotePrefix="0" xfId="3">
      <alignment horizontal="center" vertical="center"/>
    </xf>
    <xf numFmtId="0" fontId="21" fillId="5" borderId="33" applyAlignment="1" pivotButton="0" quotePrefix="0" xfId="2">
      <alignment horizontal="center" vertical="center"/>
    </xf>
    <xf numFmtId="165" fontId="21" fillId="7" borderId="32" applyAlignment="1" pivotButton="0" quotePrefix="0" xfId="2">
      <alignment horizontal="center" vertical="center"/>
    </xf>
    <xf numFmtId="165" fontId="21" fillId="7" borderId="33" applyAlignment="1" pivotButton="0" quotePrefix="0" xfId="2">
      <alignment horizontal="center" vertical="center"/>
    </xf>
    <xf numFmtId="164" fontId="22" fillId="7" borderId="33" applyAlignment="1" pivotButton="0" quotePrefix="0" xfId="3">
      <alignment horizontal="center" vertical="center"/>
    </xf>
    <xf numFmtId="0" fontId="21" fillId="7" borderId="33" applyAlignment="1" pivotButton="0" quotePrefix="0" xfId="2">
      <alignment horizontal="center" vertical="center"/>
    </xf>
    <xf numFmtId="0" fontId="18" fillId="7" borderId="33" applyAlignment="1" pivotButton="0" quotePrefix="0" xfId="2">
      <alignment horizontal="center" vertical="center"/>
    </xf>
    <xf numFmtId="165" fontId="21" fillId="5" borderId="36" applyAlignment="1" pivotButton="0" quotePrefix="0" xfId="2">
      <alignment horizontal="center" vertical="center"/>
    </xf>
    <xf numFmtId="165" fontId="21" fillId="5" borderId="37" applyAlignment="1" pivotButton="0" quotePrefix="0" xfId="2">
      <alignment horizontal="center" vertical="center"/>
    </xf>
    <xf numFmtId="164" fontId="22" fillId="5" borderId="37" applyAlignment="1" pivotButton="0" quotePrefix="0" xfId="3">
      <alignment horizontal="center" vertical="center"/>
    </xf>
    <xf numFmtId="0" fontId="21" fillId="5" borderId="37" applyAlignment="1" pivotButton="0" quotePrefix="0" xfId="2">
      <alignment horizontal="center" vertical="center"/>
    </xf>
    <xf numFmtId="165" fontId="21" fillId="8" borderId="36" applyAlignment="1" pivotButton="0" quotePrefix="0" xfId="2">
      <alignment horizontal="center" vertical="center"/>
    </xf>
    <xf numFmtId="165" fontId="21" fillId="8" borderId="37" applyAlignment="1" pivotButton="0" quotePrefix="0" xfId="2">
      <alignment horizontal="center" vertical="center"/>
    </xf>
    <xf numFmtId="164" fontId="22" fillId="8" borderId="37" applyAlignment="1" pivotButton="0" quotePrefix="0" xfId="3">
      <alignment horizontal="center" vertical="center"/>
    </xf>
    <xf numFmtId="0" fontId="21" fillId="8" borderId="37" applyAlignment="1" pivotButton="0" quotePrefix="0" xfId="2">
      <alignment horizontal="center" vertical="center"/>
    </xf>
    <xf numFmtId="164" fontId="22" fillId="2" borderId="37" applyAlignment="1" pivotButton="0" quotePrefix="0" xfId="3">
      <alignment horizontal="center" vertical="center"/>
    </xf>
    <xf numFmtId="165" fontId="21" fillId="7" borderId="36" applyAlignment="1" pivotButton="0" quotePrefix="0" xfId="2">
      <alignment horizontal="center" vertical="center"/>
    </xf>
    <xf numFmtId="165" fontId="21" fillId="7" borderId="37" applyAlignment="1" pivotButton="0" quotePrefix="0" xfId="2">
      <alignment horizontal="center" vertical="center"/>
    </xf>
    <xf numFmtId="164" fontId="22" fillId="7" borderId="37" applyAlignment="1" pivotButton="0" quotePrefix="0" xfId="3">
      <alignment horizontal="center" vertical="center"/>
    </xf>
    <xf numFmtId="0" fontId="21" fillId="7" borderId="37" applyAlignment="1" pivotButton="0" quotePrefix="0" xfId="2">
      <alignment horizontal="center" vertical="center"/>
    </xf>
    <xf numFmtId="165" fontId="21" fillId="9" borderId="36" applyAlignment="1" pivotButton="0" quotePrefix="0" xfId="2">
      <alignment horizontal="center" vertical="center"/>
    </xf>
    <xf numFmtId="165" fontId="21" fillId="9" borderId="37" applyAlignment="1" pivotButton="0" quotePrefix="0" xfId="2">
      <alignment horizontal="center" vertical="center"/>
    </xf>
    <xf numFmtId="164" fontId="22" fillId="9" borderId="37" applyAlignment="1" pivotButton="0" quotePrefix="0" xfId="3">
      <alignment horizontal="center" vertical="center"/>
    </xf>
    <xf numFmtId="0" fontId="21" fillId="9" borderId="37" applyAlignment="1" pivotButton="0" quotePrefix="0" xfId="2">
      <alignment horizontal="center" vertical="center"/>
    </xf>
    <xf numFmtId="49" fontId="18" fillId="0" borderId="0" applyAlignment="1" pivotButton="0" quotePrefix="0" xfId="2">
      <alignment horizontal="center" vertical="center"/>
    </xf>
    <xf numFmtId="164" fontId="19" fillId="0" borderId="0" applyAlignment="1" pivotButton="0" quotePrefix="0" xfId="3">
      <alignment horizontal="center" vertical="center"/>
    </xf>
    <xf numFmtId="0" fontId="18" fillId="0" borderId="0" applyAlignment="1" pivotButton="0" quotePrefix="0" xfId="2">
      <alignment vertical="center" wrapText="1"/>
    </xf>
    <xf numFmtId="0" fontId="21" fillId="5" borderId="32" applyAlignment="1" pivotButton="0" quotePrefix="0" xfId="2">
      <alignment horizontal="center" vertical="center"/>
    </xf>
    <xf numFmtId="0" fontId="21" fillId="5" borderId="33" applyAlignment="1" pivotButton="0" quotePrefix="0" xfId="2">
      <alignment horizontal="center" vertical="center"/>
    </xf>
    <xf numFmtId="0" fontId="21" fillId="5" borderId="36" applyAlignment="1" pivotButton="0" quotePrefix="0" xfId="2">
      <alignment horizontal="center" vertical="center"/>
    </xf>
    <xf numFmtId="0" fontId="21" fillId="5" borderId="37" applyAlignment="1" pivotButton="0" quotePrefix="0" xfId="2">
      <alignment horizontal="center" vertical="center"/>
    </xf>
    <xf numFmtId="165" fontId="21" fillId="10" borderId="36" applyAlignment="1" pivotButton="0" quotePrefix="0" xfId="2">
      <alignment horizontal="center" vertical="center"/>
    </xf>
    <xf numFmtId="165" fontId="21" fillId="10" borderId="37" applyAlignment="1" pivotButton="0" quotePrefix="0" xfId="2">
      <alignment horizontal="center" vertical="center"/>
    </xf>
    <xf numFmtId="164" fontId="22" fillId="10" borderId="37" applyAlignment="1" pivotButton="0" quotePrefix="0" xfId="3">
      <alignment horizontal="center" vertical="center"/>
    </xf>
    <xf numFmtId="0" fontId="21" fillId="10" borderId="37" applyAlignment="1" pivotButton="0" quotePrefix="0" xfId="2">
      <alignment horizontal="center" vertical="center"/>
    </xf>
    <xf numFmtId="0" fontId="21" fillId="5" borderId="42" applyAlignment="1" pivotButton="0" quotePrefix="0" xfId="2">
      <alignment horizontal="center" vertical="center"/>
    </xf>
    <xf numFmtId="0" fontId="21" fillId="5" borderId="40" applyAlignment="1" pivotButton="0" quotePrefix="0" xfId="2">
      <alignment horizontal="center" vertical="center"/>
    </xf>
    <xf numFmtId="165" fontId="21" fillId="5" borderId="40" applyAlignment="1" pivotButton="0" quotePrefix="0" xfId="2">
      <alignment horizontal="center" vertical="center"/>
    </xf>
    <xf numFmtId="164" fontId="22" fillId="5" borderId="40" applyAlignment="1" pivotButton="0" quotePrefix="0" xfId="3">
      <alignment horizontal="center" vertical="center"/>
    </xf>
    <xf numFmtId="0" fontId="21" fillId="5" borderId="40" applyAlignment="1" pivotButton="0" quotePrefix="0" xfId="2">
      <alignment horizontal="center" vertical="center"/>
    </xf>
    <xf numFmtId="49" fontId="18" fillId="8" borderId="36" applyAlignment="1" pivotButton="0" quotePrefix="0" xfId="2">
      <alignment horizontal="center" vertical="center"/>
    </xf>
    <xf numFmtId="49" fontId="18" fillId="8" borderId="37" applyAlignment="1" pivotButton="0" quotePrefix="0" xfId="2">
      <alignment horizontal="center" vertical="center"/>
    </xf>
    <xf numFmtId="165" fontId="18" fillId="8" borderId="37" applyAlignment="1" pivotButton="0" quotePrefix="0" xfId="2">
      <alignment horizontal="center" vertical="center"/>
    </xf>
    <xf numFmtId="164" fontId="19" fillId="8" borderId="37" applyAlignment="1" pivotButton="0" quotePrefix="0" xfId="3">
      <alignment horizontal="center" vertical="center"/>
    </xf>
    <xf numFmtId="0" fontId="18" fillId="8" borderId="37" applyAlignment="1" pivotButton="0" quotePrefix="0" xfId="2">
      <alignment horizontal="center" vertical="center"/>
    </xf>
    <xf numFmtId="165" fontId="21" fillId="11" borderId="36" applyAlignment="1" pivotButton="0" quotePrefix="0" xfId="2">
      <alignment horizontal="center" vertical="center"/>
    </xf>
    <xf numFmtId="165" fontId="21" fillId="11" borderId="37" applyAlignment="1" pivotButton="0" quotePrefix="0" xfId="2">
      <alignment horizontal="center" vertical="center"/>
    </xf>
    <xf numFmtId="164" fontId="22" fillId="11" borderId="37" applyAlignment="1" pivotButton="0" quotePrefix="0" xfId="3">
      <alignment horizontal="center" vertical="center"/>
    </xf>
    <xf numFmtId="0" fontId="21" fillId="11" borderId="37" applyAlignment="1" pivotButton="0" quotePrefix="0" xfId="2">
      <alignment horizontal="center" vertical="center"/>
    </xf>
    <xf numFmtId="0" fontId="24" fillId="0" borderId="0" applyAlignment="1" pivotButton="0" quotePrefix="0" xfId="2">
      <alignment horizontal="center" vertical="center"/>
    </xf>
    <xf numFmtId="49" fontId="18" fillId="9" borderId="36" applyAlignment="1" pivotButton="0" quotePrefix="0" xfId="2">
      <alignment horizontal="center" vertical="center"/>
    </xf>
    <xf numFmtId="49" fontId="18" fillId="9" borderId="37" applyAlignment="1" pivotButton="0" quotePrefix="0" xfId="2">
      <alignment horizontal="center" vertical="center"/>
    </xf>
    <xf numFmtId="165" fontId="18" fillId="9" borderId="37" applyAlignment="1" pivotButton="0" quotePrefix="0" xfId="2">
      <alignment horizontal="center" vertical="center"/>
    </xf>
    <xf numFmtId="164" fontId="19" fillId="9" borderId="37" applyAlignment="1" pivotButton="0" quotePrefix="0" xfId="3">
      <alignment horizontal="center" vertical="center"/>
    </xf>
    <xf numFmtId="0" fontId="18" fillId="9" borderId="37" applyAlignment="1" pivotButton="0" quotePrefix="0" xfId="2">
      <alignment horizontal="center" vertical="center"/>
    </xf>
    <xf numFmtId="165" fontId="21" fillId="12" borderId="36" applyAlignment="1" pivotButton="0" quotePrefix="0" xfId="2">
      <alignment horizontal="center" vertical="center"/>
    </xf>
    <xf numFmtId="165" fontId="21" fillId="12" borderId="37" applyAlignment="1" pivotButton="0" quotePrefix="0" xfId="2">
      <alignment horizontal="center" vertical="center"/>
    </xf>
    <xf numFmtId="164" fontId="22" fillId="12" borderId="37" applyAlignment="1" pivotButton="0" quotePrefix="0" xfId="3">
      <alignment horizontal="center" vertical="center"/>
    </xf>
    <xf numFmtId="0" fontId="21" fillId="12" borderId="37" applyAlignment="1" pivotButton="0" quotePrefix="0" xfId="2">
      <alignment horizontal="center" vertical="center"/>
    </xf>
    <xf numFmtId="0" fontId="21" fillId="12" borderId="37" applyAlignment="1" pivotButton="0" quotePrefix="0" xfId="2">
      <alignment horizontal="center" vertical="center" wrapText="1"/>
    </xf>
    <xf numFmtId="49" fontId="18" fillId="11" borderId="36" applyAlignment="1" pivotButton="0" quotePrefix="0" xfId="2">
      <alignment horizontal="center" vertical="center"/>
    </xf>
    <xf numFmtId="49" fontId="18" fillId="11" borderId="37" applyAlignment="1" pivotButton="0" quotePrefix="0" xfId="2">
      <alignment horizontal="center" vertical="center"/>
    </xf>
    <xf numFmtId="165" fontId="18" fillId="11" borderId="37" applyAlignment="1" pivotButton="0" quotePrefix="0" xfId="2">
      <alignment horizontal="center" vertical="center"/>
    </xf>
    <xf numFmtId="164" fontId="19" fillId="11" borderId="37" applyAlignment="1" pivotButton="0" quotePrefix="0" xfId="3">
      <alignment horizontal="center" vertical="center"/>
    </xf>
    <xf numFmtId="0" fontId="18" fillId="11" borderId="37" applyAlignment="1" pivotButton="0" quotePrefix="0" xfId="2">
      <alignment horizontal="center" vertical="center"/>
    </xf>
    <xf numFmtId="0" fontId="18" fillId="12" borderId="37" applyAlignment="1" pivotButton="0" quotePrefix="0" xfId="2">
      <alignment horizontal="center" vertical="center"/>
    </xf>
    <xf numFmtId="49" fontId="21" fillId="11" borderId="37" applyAlignment="1" pivotButton="0" quotePrefix="0" xfId="2">
      <alignment horizontal="center" vertical="center"/>
    </xf>
    <xf numFmtId="165" fontId="21" fillId="13" borderId="36" applyAlignment="1" pivotButton="0" quotePrefix="0" xfId="2">
      <alignment horizontal="center" vertical="center"/>
    </xf>
    <xf numFmtId="165" fontId="21" fillId="13" borderId="37" applyAlignment="1" pivotButton="0" quotePrefix="0" xfId="2">
      <alignment horizontal="center" vertical="center"/>
    </xf>
    <xf numFmtId="164" fontId="22" fillId="13" borderId="37" applyAlignment="1" pivotButton="0" quotePrefix="0" xfId="3">
      <alignment horizontal="center" vertical="center"/>
    </xf>
    <xf numFmtId="0" fontId="21" fillId="13" borderId="37" applyAlignment="1" pivotButton="0" quotePrefix="0" xfId="2">
      <alignment horizontal="center" vertical="center"/>
    </xf>
    <xf numFmtId="49" fontId="18" fillId="13" borderId="36" applyAlignment="1" pivotButton="0" quotePrefix="0" xfId="2">
      <alignment horizontal="center" vertical="center"/>
    </xf>
    <xf numFmtId="49" fontId="21" fillId="13" borderId="37" applyAlignment="1" pivotButton="0" quotePrefix="0" xfId="2">
      <alignment horizontal="center" vertical="center"/>
    </xf>
    <xf numFmtId="49" fontId="18" fillId="13" borderId="37" applyAlignment="1" pivotButton="0" quotePrefix="0" xfId="2">
      <alignment horizontal="center" vertical="center"/>
    </xf>
    <xf numFmtId="165" fontId="18" fillId="13" borderId="37" applyAlignment="1" pivotButton="0" quotePrefix="0" xfId="2">
      <alignment horizontal="center" vertical="center"/>
    </xf>
    <xf numFmtId="164" fontId="19" fillId="13" borderId="37" applyAlignment="1" pivotButton="0" quotePrefix="0" xfId="3">
      <alignment horizontal="center" vertical="center"/>
    </xf>
    <xf numFmtId="0" fontId="18" fillId="13" borderId="37" applyAlignment="1" pivotButton="0" quotePrefix="0" xfId="2">
      <alignment horizontal="center" vertical="center"/>
    </xf>
    <xf numFmtId="49" fontId="18" fillId="13" borderId="43" applyAlignment="1" pivotButton="0" quotePrefix="0" xfId="2">
      <alignment horizontal="center" vertical="center"/>
    </xf>
    <xf numFmtId="49" fontId="18" fillId="13" borderId="44" applyAlignment="1" pivotButton="0" quotePrefix="0" xfId="2">
      <alignment horizontal="center" vertical="center"/>
    </xf>
    <xf numFmtId="165" fontId="18" fillId="13" borderId="44" applyAlignment="1" pivotButton="0" quotePrefix="0" xfId="2">
      <alignment horizontal="center" vertical="center"/>
    </xf>
    <xf numFmtId="164" fontId="19" fillId="13" borderId="44" applyAlignment="1" pivotButton="0" quotePrefix="0" xfId="3">
      <alignment horizontal="center" vertical="center"/>
    </xf>
    <xf numFmtId="0" fontId="18" fillId="13" borderId="44" applyAlignment="1" pivotButton="0" quotePrefix="0" xfId="2">
      <alignment horizontal="center" vertical="center"/>
    </xf>
    <xf numFmtId="165" fontId="21" fillId="13" borderId="43" applyAlignment="1" pivotButton="0" quotePrefix="0" xfId="2">
      <alignment horizontal="center" vertical="center"/>
    </xf>
    <xf numFmtId="165" fontId="21" fillId="13" borderId="44" applyAlignment="1" pivotButton="0" quotePrefix="0" xfId="2">
      <alignment horizontal="center" vertical="center"/>
    </xf>
    <xf numFmtId="164" fontId="22" fillId="13" borderId="44" applyAlignment="1" pivotButton="0" quotePrefix="0" xfId="3">
      <alignment horizontal="center" vertical="center"/>
    </xf>
    <xf numFmtId="0" fontId="21" fillId="13" borderId="44" applyAlignment="1" pivotButton="0" quotePrefix="0" xfId="2">
      <alignment horizontal="center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4" fontId="5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left"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left" vertical="center"/>
    </xf>
    <xf numFmtId="0" fontId="12" fillId="0" borderId="29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28" fillId="0" borderId="56" applyAlignment="1" pivotButton="0" quotePrefix="0" xfId="0">
      <alignment horizontal="center" vertical="center"/>
    </xf>
    <xf numFmtId="0" fontId="28" fillId="0" borderId="12" applyAlignment="1" pivotButton="0" quotePrefix="0" xfId="0">
      <alignment vertical="center"/>
    </xf>
    <xf numFmtId="164" fontId="28" fillId="0" borderId="14" applyAlignment="1" pivotButton="0" quotePrefix="0" xfId="0">
      <alignment vertical="center"/>
    </xf>
    <xf numFmtId="0" fontId="28" fillId="0" borderId="58" applyAlignment="1" pivotButton="0" quotePrefix="0" xfId="0">
      <alignment horizontal="center" vertical="center"/>
    </xf>
    <xf numFmtId="0" fontId="28" fillId="0" borderId="59" applyAlignment="1" pivotButton="0" quotePrefix="0" xfId="0">
      <alignment vertical="center"/>
    </xf>
    <xf numFmtId="9" fontId="4" fillId="0" borderId="13" applyAlignment="1" pivotButton="0" quotePrefix="0" xfId="0">
      <alignment horizontal="center" vertical="center"/>
    </xf>
    <xf numFmtId="164" fontId="4" fillId="0" borderId="13" applyAlignment="1" pivotButton="0" quotePrefix="0" xfId="1">
      <alignment horizontal="center" vertical="center"/>
    </xf>
    <xf numFmtId="164" fontId="4" fillId="0" borderId="14" applyAlignment="1" pivotButton="0" quotePrefix="0" xfId="0">
      <alignment vertical="center"/>
    </xf>
    <xf numFmtId="167" fontId="30" fillId="0" borderId="12" applyAlignment="1" pivotButton="0" quotePrefix="0" xfId="0">
      <alignment horizontal="center" vertical="center"/>
    </xf>
    <xf numFmtId="168" fontId="31" fillId="0" borderId="13" applyAlignment="1" pivotButton="0" quotePrefix="0" xfId="0">
      <alignment horizontal="center" vertical="center"/>
    </xf>
    <xf numFmtId="164" fontId="4" fillId="0" borderId="14" applyAlignment="1" pivotButton="0" quotePrefix="0" xfId="1">
      <alignment horizontal="center" vertical="center"/>
    </xf>
    <xf numFmtId="0" fontId="29" fillId="0" borderId="29" applyAlignment="1" pivotButton="0" quotePrefix="0" xfId="0">
      <alignment vertical="center"/>
    </xf>
    <xf numFmtId="0" fontId="29" fillId="0" borderId="29" applyAlignment="1" pivotButton="0" quotePrefix="0" xfId="0">
      <alignment horizontal="left" vertical="center"/>
    </xf>
    <xf numFmtId="164" fontId="28" fillId="0" borderId="17" applyAlignment="1" pivotButton="0" quotePrefix="0" xfId="0">
      <alignment vertical="center"/>
    </xf>
    <xf numFmtId="167" fontId="30" fillId="0" borderId="52" applyAlignment="1" pivotButton="0" quotePrefix="0" xfId="0">
      <alignment horizontal="center" vertical="center"/>
    </xf>
    <xf numFmtId="168" fontId="31" fillId="0" borderId="18" applyAlignment="1" pivotButton="0" quotePrefix="0" xfId="0">
      <alignment horizontal="center" vertical="center"/>
    </xf>
    <xf numFmtId="0" fontId="12" fillId="0" borderId="22" applyAlignment="1" pivotButton="0" quotePrefix="0" xfId="0">
      <alignment horizontal="center" vertical="center"/>
    </xf>
    <xf numFmtId="0" fontId="12" fillId="0" borderId="61" applyAlignment="1" pivotButton="0" quotePrefix="0" xfId="0">
      <alignment horizontal="center" vertical="center"/>
    </xf>
    <xf numFmtId="9" fontId="5" fillId="0" borderId="0" applyAlignment="1" pivotButton="0" quotePrefix="0" xfId="0">
      <alignment horizontal="center" vertical="center"/>
    </xf>
    <xf numFmtId="164" fontId="28" fillId="0" borderId="60" applyAlignment="1" pivotButton="0" quotePrefix="0" xfId="1">
      <alignment horizontal="center" vertical="center"/>
    </xf>
    <xf numFmtId="164" fontId="28" fillId="0" borderId="59" applyAlignment="1" pivotButton="0" quotePrefix="0" xfId="1">
      <alignment horizontal="center" vertical="center"/>
    </xf>
    <xf numFmtId="0" fontId="27" fillId="4" borderId="53" applyAlignment="1" pivotButton="0" quotePrefix="0" xfId="0">
      <alignment horizontal="center" vertical="center"/>
    </xf>
    <xf numFmtId="0" fontId="27" fillId="4" borderId="54" applyAlignment="1" pivotButton="0" quotePrefix="0" xfId="0">
      <alignment horizontal="center" vertical="center"/>
    </xf>
    <xf numFmtId="164" fontId="28" fillId="0" borderId="57" applyAlignment="1" pivotButton="0" quotePrefix="0" xfId="1">
      <alignment horizontal="center" vertical="center"/>
    </xf>
    <xf numFmtId="164" fontId="28" fillId="0" borderId="12" applyAlignment="1" pivotButton="0" quotePrefix="0" xfId="1">
      <alignment horizontal="center" vertical="center"/>
    </xf>
    <xf numFmtId="0" fontId="8" fillId="4" borderId="55" applyAlignment="1" pivotButton="0" quotePrefix="0" xfId="0">
      <alignment horizontal="center" vertical="center"/>
    </xf>
    <xf numFmtId="0" fontId="8" fillId="4" borderId="5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10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7" fillId="0" borderId="27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12" fillId="0" borderId="29" applyAlignment="1" pivotButton="0" quotePrefix="0" xfId="0">
      <alignment horizontal="center" vertical="center"/>
    </xf>
    <xf numFmtId="0" fontId="9" fillId="0" borderId="24" applyAlignment="1" pivotButton="0" quotePrefix="0" xfId="0">
      <alignment horizontal="center" vertical="center"/>
    </xf>
    <xf numFmtId="0" fontId="9" fillId="0" borderId="31" applyAlignment="1" pivotButton="0" quotePrefix="0" xfId="0">
      <alignment horizontal="center" vertical="center"/>
    </xf>
    <xf numFmtId="169" fontId="9" fillId="0" borderId="25" applyAlignment="1" pivotButton="0" quotePrefix="0" xfId="0">
      <alignment horizontal="center" vertical="center"/>
    </xf>
    <xf numFmtId="169" fontId="9" fillId="0" borderId="26" applyAlignment="1" pivotButton="0" quotePrefix="0" xfId="0">
      <alignment horizontal="center" vertical="center"/>
    </xf>
    <xf numFmtId="0" fontId="6" fillId="0" borderId="20" applyAlignment="1" pivotButton="0" quotePrefix="0" xfId="0">
      <alignment horizontal="center" vertical="center"/>
    </xf>
    <xf numFmtId="0" fontId="6" fillId="0" borderId="18" applyAlignment="1" pivotButton="0" quotePrefix="0" xfId="0">
      <alignment horizontal="center" vertical="center"/>
    </xf>
    <xf numFmtId="0" fontId="14" fillId="0" borderId="29" applyAlignment="1" pivotButton="0" quotePrefix="0" xfId="0">
      <alignment horizontal="center" vertical="center"/>
    </xf>
    <xf numFmtId="164" fontId="6" fillId="0" borderId="19" applyAlignment="1" pivotButton="0" quotePrefix="0" xfId="1">
      <alignment horizontal="right" vertical="center" wrapText="1"/>
    </xf>
    <xf numFmtId="164" fontId="6" fillId="0" borderId="22" applyAlignment="1" pivotButton="0" quotePrefix="0" xfId="1">
      <alignment horizontal="right" vertical="center"/>
    </xf>
    <xf numFmtId="164" fontId="6" fillId="0" borderId="23" applyAlignment="1" pivotButton="0" quotePrefix="0" xfId="1">
      <alignment horizontal="right" vertical="center"/>
    </xf>
    <xf numFmtId="0" fontId="6" fillId="0" borderId="24" applyAlignment="1" pivotButton="0" quotePrefix="0" xfId="0">
      <alignment horizontal="center" vertical="center"/>
    </xf>
    <xf numFmtId="0" fontId="6" fillId="0" borderId="25" applyAlignment="1" pivotButton="0" quotePrefix="0" xfId="0">
      <alignment horizontal="center" vertical="center"/>
    </xf>
    <xf numFmtId="169" fontId="6" fillId="0" borderId="30" applyAlignment="1" pivotButton="0" quotePrefix="0" xfId="0">
      <alignment horizontal="right" vertical="center"/>
    </xf>
    <xf numFmtId="169" fontId="6" fillId="0" borderId="25" applyAlignment="1" pivotButton="0" quotePrefix="0" xfId="0">
      <alignment horizontal="right" vertical="center"/>
    </xf>
    <xf numFmtId="169" fontId="6" fillId="0" borderId="26" applyAlignment="1" pivotButton="0" quotePrefix="0" xfId="0">
      <alignment horizontal="right" vertical="center"/>
    </xf>
    <xf numFmtId="0" fontId="32" fillId="3" borderId="1" applyAlignment="1" pivotButton="0" quotePrefix="0" xfId="0">
      <alignment horizontal="center" vertical="center"/>
    </xf>
    <xf numFmtId="0" fontId="32" fillId="3" borderId="2" applyAlignment="1" pivotButton="0" quotePrefix="0" xfId="0">
      <alignment horizontal="center" vertical="center"/>
    </xf>
    <xf numFmtId="0" fontId="32" fillId="3" borderId="3" applyAlignment="1" pivotButton="0" quotePrefix="0" xfId="0">
      <alignment horizontal="center" vertical="center"/>
    </xf>
    <xf numFmtId="0" fontId="32" fillId="3" borderId="4" applyAlignment="1" pivotButton="0" quotePrefix="0" xfId="0">
      <alignment horizontal="center" vertical="center"/>
    </xf>
    <xf numFmtId="0" fontId="32" fillId="3" borderId="0" applyAlignment="1" pivotButton="0" quotePrefix="0" xfId="0">
      <alignment horizontal="center" vertical="center"/>
    </xf>
    <xf numFmtId="0" fontId="32" fillId="3" borderId="5" applyAlignment="1" pivotButton="0" quotePrefix="0" xfId="0">
      <alignment horizontal="center" vertical="center"/>
    </xf>
    <xf numFmtId="0" fontId="32" fillId="3" borderId="6" applyAlignment="1" pivotButton="0" quotePrefix="0" xfId="0">
      <alignment horizontal="center" vertical="center"/>
    </xf>
    <xf numFmtId="0" fontId="32" fillId="3" borderId="7" applyAlignment="1" pivotButton="0" quotePrefix="0" xfId="0">
      <alignment horizontal="center" vertical="center"/>
    </xf>
    <xf numFmtId="0" fontId="32" fillId="3" borderId="8" applyAlignment="1" pivotButton="0" quotePrefix="0" xfId="0">
      <alignment horizontal="center" vertical="center"/>
    </xf>
    <xf numFmtId="0" fontId="8" fillId="0" borderId="2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right" vertical="center"/>
    </xf>
    <xf numFmtId="0" fontId="5" fillId="0" borderId="7" applyAlignment="1" pivotButton="0" quotePrefix="0" xfId="0">
      <alignment horizontal="right" vertical="center"/>
    </xf>
    <xf numFmtId="0" fontId="8" fillId="2" borderId="20" applyAlignment="1" pivotButton="0" quotePrefix="0" xfId="0">
      <alignment horizontal="center" vertical="center" wrapText="1"/>
    </xf>
    <xf numFmtId="0" fontId="8" fillId="2" borderId="21" applyAlignment="1" pivotButton="0" quotePrefix="0" xfId="0">
      <alignment horizontal="center" vertical="center" wrapText="1"/>
    </xf>
    <xf numFmtId="0" fontId="8" fillId="2" borderId="28" applyAlignment="1" pivotButton="0" quotePrefix="0" xfId="0">
      <alignment horizontal="center" vertical="center" wrapText="1"/>
    </xf>
    <xf numFmtId="0" fontId="8" fillId="0" borderId="20" applyAlignment="1" pivotButton="0" quotePrefix="0" xfId="0">
      <alignment horizontal="center" vertical="center"/>
    </xf>
    <xf numFmtId="0" fontId="8" fillId="0" borderId="21" applyAlignment="1" pivotButton="0" quotePrefix="0" xfId="0">
      <alignment horizontal="center" vertical="center"/>
    </xf>
    <xf numFmtId="0" fontId="8" fillId="0" borderId="28" applyAlignment="1" pivotButton="0" quotePrefix="0" xfId="0">
      <alignment horizontal="center" vertical="center"/>
    </xf>
    <xf numFmtId="0" fontId="18" fillId="10" borderId="41" applyAlignment="1" pivotButton="0" quotePrefix="0" xfId="2">
      <alignment horizontal="center" vertical="center"/>
    </xf>
    <xf numFmtId="0" fontId="18" fillId="10" borderId="40" applyAlignment="1" pivotButton="0" quotePrefix="0" xfId="2">
      <alignment horizontal="center" vertical="center"/>
    </xf>
    <xf numFmtId="0" fontId="18" fillId="11" borderId="41" applyAlignment="1" pivotButton="0" quotePrefix="0" xfId="2">
      <alignment horizontal="center" vertical="center"/>
    </xf>
    <xf numFmtId="0" fontId="18" fillId="11" borderId="38" applyAlignment="1" pivotButton="0" quotePrefix="0" xfId="2">
      <alignment horizontal="center" vertical="center"/>
    </xf>
    <xf numFmtId="0" fontId="18" fillId="11" borderId="40" applyAlignment="1" pivotButton="0" quotePrefix="0" xfId="2">
      <alignment horizontal="center" vertical="center"/>
    </xf>
    <xf numFmtId="0" fontId="18" fillId="9" borderId="41" applyAlignment="1" pivotButton="0" quotePrefix="0" xfId="2">
      <alignment horizontal="center" vertical="center"/>
    </xf>
    <xf numFmtId="0" fontId="18" fillId="9" borderId="38" applyAlignment="1" pivotButton="0" quotePrefix="0" xfId="2">
      <alignment horizontal="center" vertical="center"/>
    </xf>
    <xf numFmtId="0" fontId="18" fillId="9" borderId="40" applyAlignment="1" pivotButton="0" quotePrefix="0" xfId="2">
      <alignment horizontal="center" vertical="center"/>
    </xf>
    <xf numFmtId="0" fontId="18" fillId="8" borderId="41" applyAlignment="1" pivotButton="0" quotePrefix="0" xfId="2">
      <alignment horizontal="center" vertical="center" wrapText="1"/>
    </xf>
    <xf numFmtId="0" fontId="18" fillId="8" borderId="38" applyAlignment="1" pivotButton="0" quotePrefix="0" xfId="2">
      <alignment horizontal="center" vertical="center" wrapText="1"/>
    </xf>
    <xf numFmtId="0" fontId="18" fillId="8" borderId="40" applyAlignment="1" pivotButton="0" quotePrefix="0" xfId="2">
      <alignment horizontal="center" vertical="center" wrapText="1"/>
    </xf>
    <xf numFmtId="0" fontId="18" fillId="8" borderId="41" applyAlignment="1" pivotButton="0" quotePrefix="0" xfId="2">
      <alignment horizontal="center" vertical="center"/>
    </xf>
    <xf numFmtId="0" fontId="18" fillId="8" borderId="38" applyAlignment="1" pivotButton="0" quotePrefix="0" xfId="2">
      <alignment horizontal="center" vertical="center"/>
    </xf>
    <xf numFmtId="0" fontId="18" fillId="8" borderId="40" applyAlignment="1" pivotButton="0" quotePrefix="0" xfId="2">
      <alignment horizontal="center" vertical="center"/>
    </xf>
    <xf numFmtId="0" fontId="18" fillId="7" borderId="41" applyAlignment="1" pivotButton="0" quotePrefix="0" xfId="2">
      <alignment horizontal="center" vertical="center"/>
    </xf>
    <xf numFmtId="0" fontId="18" fillId="7" borderId="34" applyAlignment="1" pivotButton="0" quotePrefix="0" xfId="2">
      <alignment horizontal="center" vertical="center"/>
    </xf>
    <xf numFmtId="0" fontId="18" fillId="5" borderId="41" applyAlignment="1" pivotButton="0" quotePrefix="0" xfId="2">
      <alignment horizontal="center" vertical="center"/>
    </xf>
    <xf numFmtId="0" fontId="18" fillId="5" borderId="38" applyAlignment="1" pivotButton="0" quotePrefix="0" xfId="2">
      <alignment horizontal="center" vertical="center"/>
    </xf>
    <xf numFmtId="0" fontId="18" fillId="5" borderId="34" applyAlignment="1" pivotButton="0" quotePrefix="0" xfId="2">
      <alignment horizontal="center" vertical="center"/>
    </xf>
    <xf numFmtId="0" fontId="18" fillId="9" borderId="41" applyAlignment="1" pivotButton="0" quotePrefix="0" xfId="2">
      <alignment horizontal="center" vertical="center" wrapText="1"/>
    </xf>
    <xf numFmtId="0" fontId="18" fillId="9" borderId="38" applyAlignment="1" pivotButton="0" quotePrefix="0" xfId="2">
      <alignment horizontal="center" vertical="center" wrapText="1"/>
    </xf>
    <xf numFmtId="0" fontId="18" fillId="9" borderId="40" applyAlignment="1" pivotButton="0" quotePrefix="0" xfId="2">
      <alignment horizontal="center" vertical="center" wrapText="1"/>
    </xf>
    <xf numFmtId="0" fontId="17" fillId="0" borderId="1" applyAlignment="1" pivotButton="0" quotePrefix="0" xfId="2">
      <alignment horizontal="center" vertical="center"/>
    </xf>
    <xf numFmtId="0" fontId="17" fillId="0" borderId="2" applyAlignment="1" pivotButton="0" quotePrefix="0" xfId="2">
      <alignment horizontal="center" vertical="center"/>
    </xf>
    <xf numFmtId="0" fontId="17" fillId="0" borderId="3" applyAlignment="1" pivotButton="0" quotePrefix="0" xfId="2">
      <alignment horizontal="center" vertical="center"/>
    </xf>
    <xf numFmtId="0" fontId="17" fillId="0" borderId="4" applyAlignment="1" pivotButton="0" quotePrefix="0" xfId="2">
      <alignment horizontal="center" vertical="center"/>
    </xf>
    <xf numFmtId="0" fontId="17" fillId="0" borderId="0" applyAlignment="1" pivotButton="0" quotePrefix="0" xfId="2">
      <alignment horizontal="center" vertical="center"/>
    </xf>
    <xf numFmtId="0" fontId="17" fillId="0" borderId="5" applyAlignment="1" pivotButton="0" quotePrefix="0" xfId="2">
      <alignment horizontal="center" vertical="center"/>
    </xf>
    <xf numFmtId="0" fontId="17" fillId="0" borderId="6" applyAlignment="1" pivotButton="0" quotePrefix="0" xfId="2">
      <alignment horizontal="center" vertical="center"/>
    </xf>
    <xf numFmtId="0" fontId="17" fillId="0" borderId="7" applyAlignment="1" pivotButton="0" quotePrefix="0" xfId="2">
      <alignment horizontal="center" vertical="center"/>
    </xf>
    <xf numFmtId="0" fontId="17" fillId="0" borderId="8" applyAlignment="1" pivotButton="0" quotePrefix="0" xfId="2">
      <alignment horizontal="center" vertical="center"/>
    </xf>
    <xf numFmtId="0" fontId="19" fillId="14" borderId="45" applyAlignment="1" pivotButton="0" quotePrefix="0" xfId="2">
      <alignment horizontal="center" vertical="center"/>
    </xf>
    <xf numFmtId="0" fontId="19" fillId="14" borderId="34" applyAlignment="1" pivotButton="0" quotePrefix="0" xfId="2">
      <alignment horizontal="center" vertical="center"/>
    </xf>
    <xf numFmtId="165" fontId="19" fillId="14" borderId="45" applyAlignment="1" pivotButton="0" quotePrefix="0" xfId="2">
      <alignment horizontal="center" vertical="center"/>
    </xf>
    <xf numFmtId="165" fontId="19" fillId="14" borderId="34" applyAlignment="1" pivotButton="0" quotePrefix="0" xfId="2">
      <alignment horizontal="center" vertical="center"/>
    </xf>
    <xf numFmtId="0" fontId="19" fillId="14" borderId="46" applyAlignment="1" pivotButton="0" quotePrefix="0" xfId="2">
      <alignment horizontal="center" vertical="center"/>
    </xf>
    <xf numFmtId="0" fontId="19" fillId="14" borderId="35" applyAlignment="1" pivotButton="0" quotePrefix="0" xfId="2">
      <alignment horizontal="center" vertical="center"/>
    </xf>
    <xf numFmtId="0" fontId="18" fillId="13" borderId="45" applyAlignment="1" pivotButton="0" quotePrefix="0" xfId="2">
      <alignment horizontal="center" vertical="center"/>
    </xf>
    <xf numFmtId="0" fontId="18" fillId="13" borderId="38" applyAlignment="1" pivotButton="0" quotePrefix="0" xfId="2">
      <alignment horizontal="center" vertical="center"/>
    </xf>
    <xf numFmtId="0" fontId="18" fillId="13" borderId="40" applyAlignment="1" pivotButton="0" quotePrefix="0" xfId="2">
      <alignment horizontal="center" vertical="center"/>
    </xf>
    <xf numFmtId="0" fontId="23" fillId="6" borderId="46" applyAlignment="1" pivotButton="0" quotePrefix="0" xfId="2">
      <alignment horizontal="center" vertical="center" wrapText="1"/>
    </xf>
    <xf numFmtId="0" fontId="23" fillId="6" borderId="39" applyAlignment="1" pivotButton="0" quotePrefix="0" xfId="2">
      <alignment horizontal="center" vertical="center" wrapText="1"/>
    </xf>
    <xf numFmtId="0" fontId="23" fillId="6" borderId="35" applyAlignment="1" pivotButton="0" quotePrefix="0" xfId="2">
      <alignment horizontal="center" vertical="center" wrapText="1"/>
    </xf>
    <xf numFmtId="0" fontId="18" fillId="12" borderId="41" applyAlignment="1" pivotButton="0" quotePrefix="0" xfId="2">
      <alignment horizontal="center" vertical="center"/>
    </xf>
    <xf numFmtId="0" fontId="18" fillId="12" borderId="38" applyAlignment="1" pivotButton="0" quotePrefix="0" xfId="2">
      <alignment horizontal="center" vertical="center"/>
    </xf>
    <xf numFmtId="0" fontId="18" fillId="12" borderId="40" applyAlignment="1" pivotButton="0" quotePrefix="0" xfId="2">
      <alignment horizontal="center" vertical="center"/>
    </xf>
    <xf numFmtId="165" fontId="19" fillId="14" borderId="50" applyAlignment="1" pivotButton="0" quotePrefix="0" xfId="2">
      <alignment horizontal="center" vertical="center"/>
    </xf>
    <xf numFmtId="165" fontId="19" fillId="14" borderId="47" applyAlignment="1" pivotButton="0" quotePrefix="0" xfId="2">
      <alignment horizontal="center" vertical="center"/>
    </xf>
    <xf numFmtId="0" fontId="19" fillId="14" borderId="44" applyAlignment="1" pivotButton="0" quotePrefix="0" xfId="2">
      <alignment horizontal="center" vertical="center"/>
    </xf>
    <xf numFmtId="0" fontId="19" fillId="14" borderId="41" applyAlignment="1" pivotButton="0" quotePrefix="0" xfId="2">
      <alignment horizontal="center" vertical="center"/>
    </xf>
    <xf numFmtId="165" fontId="19" fillId="14" borderId="44" applyAlignment="1" pivotButton="0" quotePrefix="0" xfId="2">
      <alignment horizontal="center" vertical="center"/>
    </xf>
    <xf numFmtId="165" fontId="19" fillId="14" borderId="41" applyAlignment="1" pivotButton="0" quotePrefix="0" xfId="2">
      <alignment horizontal="center" vertical="center"/>
    </xf>
    <xf numFmtId="165" fontId="19" fillId="14" borderId="38" applyAlignment="1" pivotButton="0" quotePrefix="0" xfId="2">
      <alignment horizontal="center" vertical="center"/>
    </xf>
    <xf numFmtId="165" fontId="19" fillId="14" borderId="48" applyAlignment="1" pivotButton="0" quotePrefix="0" xfId="2">
      <alignment horizontal="center" vertical="center"/>
    </xf>
    <xf numFmtId="0" fontId="25" fillId="2" borderId="1" applyAlignment="1" pivotButton="0" quotePrefix="0" xfId="2">
      <alignment horizontal="center" vertical="center"/>
    </xf>
    <xf numFmtId="0" fontId="25" fillId="2" borderId="2" applyAlignment="1" pivotButton="0" quotePrefix="0" xfId="2">
      <alignment horizontal="center" vertical="center"/>
    </xf>
    <xf numFmtId="0" fontId="25" fillId="2" borderId="3" applyAlignment="1" pivotButton="0" quotePrefix="0" xfId="2">
      <alignment horizontal="center" vertical="center"/>
    </xf>
    <xf numFmtId="0" fontId="25" fillId="2" borderId="6" applyAlignment="1" pivotButton="0" quotePrefix="0" xfId="2">
      <alignment horizontal="center" vertical="center"/>
    </xf>
    <xf numFmtId="0" fontId="25" fillId="2" borderId="7" applyAlignment="1" pivotButton="0" quotePrefix="0" xfId="2">
      <alignment horizontal="center" vertical="center"/>
    </xf>
    <xf numFmtId="0" fontId="25" fillId="2" borderId="8" applyAlignment="1" pivotButton="0" quotePrefix="0" xfId="2">
      <alignment horizontal="center" vertical="center"/>
    </xf>
    <xf numFmtId="0" fontId="19" fillId="14" borderId="51" applyAlignment="1" pivotButton="0" quotePrefix="0" xfId="2">
      <alignment horizontal="center" vertical="center"/>
    </xf>
    <xf numFmtId="0" fontId="19" fillId="14" borderId="49" applyAlignment="1" pivotButton="0" quotePrefix="0" xfId="2">
      <alignment horizontal="center" vertical="center"/>
    </xf>
    <xf numFmtId="0" fontId="0" fillId="0" borderId="0" pivotButton="0" quotePrefix="0" xfId="0"/>
    <xf numFmtId="0" fontId="32" fillId="3" borderId="6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5" fillId="0" borderId="2" applyAlignment="1" pivotButton="0" quotePrefix="0" xfId="0">
      <alignment horizontal="left" vertical="center"/>
    </xf>
    <xf numFmtId="0" fontId="0" fillId="0" borderId="54" pivotButton="0" quotePrefix="0" xfId="0"/>
    <xf numFmtId="0" fontId="8" fillId="0" borderId="63" applyAlignment="1" pivotButton="0" quotePrefix="0" xfId="0">
      <alignment horizontal="center" vertical="center"/>
    </xf>
    <xf numFmtId="167" fontId="30" fillId="0" borderId="12" applyAlignment="1" pivotButton="0" quotePrefix="0" xfId="0">
      <alignment horizontal="center" vertical="center"/>
    </xf>
    <xf numFmtId="168" fontId="31" fillId="0" borderId="13" applyAlignment="1" pivotButton="0" quotePrefix="0" xfId="0">
      <alignment horizontal="center" vertical="center"/>
    </xf>
    <xf numFmtId="164" fontId="4" fillId="0" borderId="14" applyAlignment="1" pivotButton="0" quotePrefix="0" xfId="1">
      <alignment horizontal="center" vertical="center"/>
    </xf>
    <xf numFmtId="0" fontId="0" fillId="0" borderId="21" pivotButton="0" quotePrefix="0" xfId="0"/>
    <xf numFmtId="0" fontId="0" fillId="0" borderId="28" pivotButton="0" quotePrefix="0" xfId="0"/>
    <xf numFmtId="0" fontId="8" fillId="2" borderId="63" applyAlignment="1" pivotButton="0" quotePrefix="0" xfId="0">
      <alignment horizontal="center" vertical="center" wrapText="1"/>
    </xf>
    <xf numFmtId="167" fontId="30" fillId="0" borderId="52" applyAlignment="1" pivotButton="0" quotePrefix="0" xfId="0">
      <alignment horizontal="center" vertical="center"/>
    </xf>
    <xf numFmtId="168" fontId="31" fillId="0" borderId="18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59" pivotButton="0" quotePrefix="0" xfId="0"/>
    <xf numFmtId="164" fontId="6" fillId="0" borderId="17" applyAlignment="1" pivotButton="0" quotePrefix="0" xfId="1">
      <alignment horizontal="center" vertical="center"/>
    </xf>
    <xf numFmtId="164" fontId="9" fillId="0" borderId="0" applyAlignment="1" pivotButton="0" quotePrefix="0" xfId="1">
      <alignment horizontal="center" vertical="center"/>
    </xf>
    <xf numFmtId="164" fontId="8" fillId="4" borderId="10" applyAlignment="1" pivotButton="0" quotePrefix="0" xfId="1">
      <alignment horizontal="center" vertical="center"/>
    </xf>
    <xf numFmtId="0" fontId="7" fillId="0" borderId="63" applyAlignment="1" pivotButton="0" quotePrefix="0" xfId="0">
      <alignment horizontal="left" vertical="center"/>
    </xf>
    <xf numFmtId="0" fontId="0" fillId="0" borderId="12" pivotButton="0" quotePrefix="0" xfId="0"/>
    <xf numFmtId="164" fontId="4" fillId="0" borderId="13" applyAlignment="1" pivotButton="0" quotePrefix="0" xfId="1">
      <alignment horizontal="center" vertical="center"/>
    </xf>
    <xf numFmtId="164" fontId="4" fillId="0" borderId="14" applyAlignment="1" pivotButton="0" quotePrefix="0" xfId="0">
      <alignment vertical="center"/>
    </xf>
    <xf numFmtId="0" fontId="0" fillId="0" borderId="52" pivotButton="0" quotePrefix="0" xfId="0"/>
    <xf numFmtId="164" fontId="6" fillId="0" borderId="65" applyAlignment="1" pivotButton="0" quotePrefix="0" xfId="1">
      <alignment horizontal="right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169" fontId="6" fillId="0" borderId="66" applyAlignment="1" pivotButton="0" quotePrefix="0" xfId="0">
      <alignment horizontal="right" vertical="center"/>
    </xf>
    <xf numFmtId="0" fontId="0" fillId="0" borderId="26" pivotButton="0" quotePrefix="0" xfId="0"/>
    <xf numFmtId="0" fontId="9" fillId="0" borderId="68" applyAlignment="1" pivotButton="0" quotePrefix="0" xfId="0">
      <alignment horizontal="center" vertical="center"/>
    </xf>
    <xf numFmtId="0" fontId="0" fillId="0" borderId="31" pivotButton="0" quotePrefix="0" xfId="0"/>
    <xf numFmtId="169" fontId="9" fillId="0" borderId="26" applyAlignment="1" pivotButton="0" quotePrefix="0" xfId="0">
      <alignment horizontal="center" vertical="center"/>
    </xf>
    <xf numFmtId="0" fontId="27" fillId="4" borderId="9" applyAlignment="1" pivotButton="0" quotePrefix="0" xfId="0">
      <alignment horizontal="center" vertical="center"/>
    </xf>
    <xf numFmtId="164" fontId="28" fillId="0" borderId="13" applyAlignment="1" pivotButton="0" quotePrefix="0" xfId="1">
      <alignment horizontal="center" vertical="center"/>
    </xf>
    <xf numFmtId="164" fontId="28" fillId="0" borderId="14" applyAlignment="1" pivotButton="0" quotePrefix="0" xfId="0">
      <alignment vertical="center"/>
    </xf>
    <xf numFmtId="164" fontId="28" fillId="0" borderId="16" applyAlignment="1" pivotButton="0" quotePrefix="0" xfId="1">
      <alignment horizontal="center" vertical="center"/>
    </xf>
    <xf numFmtId="164" fontId="28" fillId="0" borderId="17" applyAlignment="1" pivotButton="0" quotePrefix="0" xfId="0">
      <alignment vertical="center"/>
    </xf>
    <xf numFmtId="164" fontId="11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/>
    </xf>
    <xf numFmtId="164" fontId="8" fillId="0" borderId="0" applyAlignment="1" pivotButton="0" quotePrefix="0" xfId="0">
      <alignment horizontal="left" vertical="center"/>
    </xf>
    <xf numFmtId="164" fontId="26" fillId="0" borderId="0" applyAlignment="1" pivotButton="0" quotePrefix="0" xfId="0">
      <alignment vertical="center"/>
    </xf>
    <xf numFmtId="0" fontId="25" fillId="2" borderId="64" applyAlignment="1" pivotButton="0" quotePrefix="0" xfId="2">
      <alignment horizontal="center" vertical="center"/>
    </xf>
    <xf numFmtId="165" fontId="19" fillId="14" borderId="44" applyAlignment="1" pivotButton="0" quotePrefix="0" xfId="2">
      <alignment horizontal="center" vertical="center"/>
    </xf>
    <xf numFmtId="165" fontId="19" fillId="14" borderId="45" applyAlignment="1" pivotButton="0" quotePrefix="0" xfId="2">
      <alignment horizontal="center" vertical="center"/>
    </xf>
    <xf numFmtId="165" fontId="19" fillId="14" borderId="50" applyAlignment="1" pivotButton="0" quotePrefix="0" xfId="2">
      <alignment horizontal="center" vertical="center"/>
    </xf>
    <xf numFmtId="0" fontId="19" fillId="14" borderId="73" applyAlignment="1" pivotButton="0" quotePrefix="0" xfId="2">
      <alignment horizontal="center" vertical="center"/>
    </xf>
    <xf numFmtId="0" fontId="19" fillId="14" borderId="72" applyAlignment="1" pivotButton="0" quotePrefix="0" xfId="2">
      <alignment horizontal="center" vertical="center"/>
    </xf>
    <xf numFmtId="165" fontId="19" fillId="14" borderId="72" applyAlignment="1" pivotButton="0" quotePrefix="0" xfId="2">
      <alignment horizontal="center" vertical="center"/>
    </xf>
    <xf numFmtId="165" fontId="19" fillId="14" borderId="71" applyAlignment="1" pivotButton="0" quotePrefix="0" xfId="2">
      <alignment horizontal="center" vertical="center"/>
    </xf>
    <xf numFmtId="0" fontId="0" fillId="0" borderId="69" pivotButton="0" quotePrefix="0" xfId="0"/>
    <xf numFmtId="0" fontId="0" fillId="0" borderId="40" pivotButton="0" quotePrefix="0" xfId="0"/>
    <xf numFmtId="0" fontId="0" fillId="0" borderId="38" pivotButton="0" quotePrefix="0" xfId="0"/>
    <xf numFmtId="0" fontId="0" fillId="0" borderId="48" pivotButton="0" quotePrefix="0" xfId="0"/>
    <xf numFmtId="0" fontId="0" fillId="0" borderId="35" pivotButton="0" quotePrefix="0" xfId="0"/>
    <xf numFmtId="0" fontId="0" fillId="0" borderId="34" pivotButton="0" quotePrefix="0" xfId="0"/>
    <xf numFmtId="0" fontId="0" fillId="0" borderId="47" pivotButton="0" quotePrefix="0" xfId="0"/>
    <xf numFmtId="0" fontId="23" fillId="6" borderId="73" applyAlignment="1" pivotButton="0" quotePrefix="0" xfId="2">
      <alignment horizontal="center" vertical="center" wrapText="1"/>
    </xf>
    <xf numFmtId="164" fontId="22" fillId="13" borderId="44" applyAlignment="1" pivotButton="0" quotePrefix="0" xfId="3">
      <alignment horizontal="center" vertical="center"/>
    </xf>
    <xf numFmtId="165" fontId="21" fillId="13" borderId="44" applyAlignment="1" pivotButton="0" quotePrefix="0" xfId="2">
      <alignment horizontal="center" vertical="center"/>
    </xf>
    <xf numFmtId="165" fontId="21" fillId="13" borderId="43" applyAlignment="1" pivotButton="0" quotePrefix="0" xfId="2">
      <alignment horizontal="center" vertical="center"/>
    </xf>
    <xf numFmtId="164" fontId="19" fillId="13" borderId="44" applyAlignment="1" pivotButton="0" quotePrefix="0" xfId="3">
      <alignment horizontal="center" vertical="center"/>
    </xf>
    <xf numFmtId="165" fontId="18" fillId="13" borderId="44" applyAlignment="1" pivotButton="0" quotePrefix="0" xfId="2">
      <alignment horizontal="center" vertical="center"/>
    </xf>
    <xf numFmtId="0" fontId="0" fillId="0" borderId="39" pivotButton="0" quotePrefix="0" xfId="0"/>
    <xf numFmtId="164" fontId="22" fillId="13" borderId="37" applyAlignment="1" pivotButton="0" quotePrefix="0" xfId="3">
      <alignment horizontal="center" vertical="center"/>
    </xf>
    <xf numFmtId="165" fontId="21" fillId="13" borderId="37" applyAlignment="1" pivotButton="0" quotePrefix="0" xfId="2">
      <alignment horizontal="center" vertical="center"/>
    </xf>
    <xf numFmtId="165" fontId="21" fillId="13" borderId="36" applyAlignment="1" pivotButton="0" quotePrefix="0" xfId="2">
      <alignment horizontal="center" vertical="center"/>
    </xf>
    <xf numFmtId="164" fontId="19" fillId="13" borderId="37" applyAlignment="1" pivotButton="0" quotePrefix="0" xfId="3">
      <alignment horizontal="center" vertical="center"/>
    </xf>
    <xf numFmtId="165" fontId="18" fillId="13" borderId="37" applyAlignment="1" pivotButton="0" quotePrefix="0" xfId="2">
      <alignment horizontal="center" vertical="center"/>
    </xf>
    <xf numFmtId="164" fontId="22" fillId="12" borderId="37" applyAlignment="1" pivotButton="0" quotePrefix="0" xfId="3">
      <alignment horizontal="center" vertical="center"/>
    </xf>
    <xf numFmtId="165" fontId="21" fillId="12" borderId="37" applyAlignment="1" pivotButton="0" quotePrefix="0" xfId="2">
      <alignment horizontal="center" vertical="center"/>
    </xf>
    <xf numFmtId="165" fontId="21" fillId="12" borderId="36" applyAlignment="1" pivotButton="0" quotePrefix="0" xfId="2">
      <alignment horizontal="center" vertical="center"/>
    </xf>
    <xf numFmtId="164" fontId="22" fillId="11" borderId="37" applyAlignment="1" pivotButton="0" quotePrefix="0" xfId="3">
      <alignment horizontal="center" vertical="center"/>
    </xf>
    <xf numFmtId="165" fontId="21" fillId="11" borderId="37" applyAlignment="1" pivotButton="0" quotePrefix="0" xfId="2">
      <alignment horizontal="center" vertical="center"/>
    </xf>
    <xf numFmtId="164" fontId="19" fillId="11" borderId="37" applyAlignment="1" pivotButton="0" quotePrefix="0" xfId="3">
      <alignment horizontal="center" vertical="center"/>
    </xf>
    <xf numFmtId="165" fontId="18" fillId="11" borderId="37" applyAlignment="1" pivotButton="0" quotePrefix="0" xfId="2">
      <alignment horizontal="center" vertical="center"/>
    </xf>
    <xf numFmtId="164" fontId="22" fillId="2" borderId="37" applyAlignment="1" pivotButton="0" quotePrefix="0" xfId="3">
      <alignment horizontal="center" vertical="center"/>
    </xf>
    <xf numFmtId="165" fontId="21" fillId="11" borderId="36" applyAlignment="1" pivotButton="0" quotePrefix="0" xfId="2">
      <alignment horizontal="center" vertical="center"/>
    </xf>
    <xf numFmtId="164" fontId="19" fillId="9" borderId="37" applyAlignment="1" pivotButton="0" quotePrefix="0" xfId="3">
      <alignment horizontal="center" vertical="center"/>
    </xf>
    <xf numFmtId="165" fontId="18" fillId="9" borderId="37" applyAlignment="1" pivotButton="0" quotePrefix="0" xfId="2">
      <alignment horizontal="center" vertical="center"/>
    </xf>
    <xf numFmtId="0" fontId="18" fillId="10" borderId="37" applyAlignment="1" pivotButton="0" quotePrefix="0" xfId="2">
      <alignment horizontal="center" vertical="center"/>
    </xf>
    <xf numFmtId="165" fontId="21" fillId="10" borderId="37" applyAlignment="1" pivotButton="0" quotePrefix="0" xfId="2">
      <alignment horizontal="center" vertical="center"/>
    </xf>
    <xf numFmtId="165" fontId="21" fillId="10" borderId="36" applyAlignment="1" pivotButton="0" quotePrefix="0" xfId="2">
      <alignment horizontal="center" vertical="center"/>
    </xf>
    <xf numFmtId="164" fontId="22" fillId="10" borderId="37" applyAlignment="1" pivotButton="0" quotePrefix="0" xfId="3">
      <alignment horizontal="center" vertical="center"/>
    </xf>
    <xf numFmtId="164" fontId="22" fillId="9" borderId="37" applyAlignment="1" pivotButton="0" quotePrefix="0" xfId="3">
      <alignment horizontal="center" vertical="center"/>
    </xf>
    <xf numFmtId="165" fontId="21" fillId="9" borderId="37" applyAlignment="1" pivotButton="0" quotePrefix="0" xfId="2">
      <alignment horizontal="center" vertical="center"/>
    </xf>
    <xf numFmtId="165" fontId="21" fillId="9" borderId="36" applyAlignment="1" pivotButton="0" quotePrefix="0" xfId="2">
      <alignment horizontal="center" vertical="center"/>
    </xf>
    <xf numFmtId="0" fontId="18" fillId="8" borderId="37" applyAlignment="1" pivotButton="0" quotePrefix="0" xfId="2">
      <alignment horizontal="center" vertical="center" wrapText="1"/>
    </xf>
    <xf numFmtId="164" fontId="19" fillId="8" borderId="37" applyAlignment="1" pivotButton="0" quotePrefix="0" xfId="3">
      <alignment horizontal="center" vertical="center"/>
    </xf>
    <xf numFmtId="165" fontId="18" fillId="8" borderId="37" applyAlignment="1" pivotButton="0" quotePrefix="0" xfId="2">
      <alignment horizontal="center" vertical="center"/>
    </xf>
    <xf numFmtId="0" fontId="18" fillId="9" borderId="37" applyAlignment="1" pivotButton="0" quotePrefix="0" xfId="2">
      <alignment horizontal="center" vertical="center" wrapText="1"/>
    </xf>
    <xf numFmtId="0" fontId="18" fillId="5" borderId="33" applyAlignment="1" pivotButton="0" quotePrefix="0" xfId="2">
      <alignment horizontal="center" vertical="center"/>
    </xf>
    <xf numFmtId="164" fontId="22" fillId="5" borderId="40" applyAlignment="1" pivotButton="0" quotePrefix="0" xfId="3">
      <alignment horizontal="center" vertical="center"/>
    </xf>
    <xf numFmtId="165" fontId="21" fillId="5" borderId="40" applyAlignment="1" pivotButton="0" quotePrefix="0" xfId="2">
      <alignment horizontal="center" vertical="center"/>
    </xf>
    <xf numFmtId="164" fontId="22" fillId="5" borderId="37" applyAlignment="1" pivotButton="0" quotePrefix="0" xfId="3">
      <alignment horizontal="center" vertical="center"/>
    </xf>
    <xf numFmtId="165" fontId="21" fillId="5" borderId="37" applyAlignment="1" pivotButton="0" quotePrefix="0" xfId="2">
      <alignment horizontal="center" vertical="center"/>
    </xf>
    <xf numFmtId="164" fontId="22" fillId="5" borderId="33" applyAlignment="1" pivotButton="0" quotePrefix="0" xfId="3">
      <alignment horizontal="center" vertical="center"/>
    </xf>
    <xf numFmtId="165" fontId="21" fillId="5" borderId="33" applyAlignment="1" pivotButton="0" quotePrefix="0" xfId="2">
      <alignment horizontal="center" vertical="center"/>
    </xf>
    <xf numFmtId="164" fontId="22" fillId="8" borderId="37" applyAlignment="1" pivotButton="0" quotePrefix="0" xfId="3">
      <alignment horizontal="center" vertical="center"/>
    </xf>
    <xf numFmtId="165" fontId="21" fillId="8" borderId="37" applyAlignment="1" pivotButton="0" quotePrefix="0" xfId="2">
      <alignment horizontal="center" vertical="center"/>
    </xf>
    <xf numFmtId="165" fontId="21" fillId="8" borderId="36" applyAlignment="1" pivotButton="0" quotePrefix="0" xfId="2">
      <alignment horizontal="center" vertical="center"/>
    </xf>
    <xf numFmtId="164" fontId="19" fillId="0" borderId="0" applyAlignment="1" pivotButton="0" quotePrefix="0" xfId="3">
      <alignment horizontal="center" vertical="center"/>
    </xf>
    <xf numFmtId="165" fontId="18" fillId="0" borderId="0" applyAlignment="1" pivotButton="0" quotePrefix="0" xfId="2">
      <alignment horizontal="center" vertical="center"/>
    </xf>
    <xf numFmtId="165" fontId="19" fillId="0" borderId="0" applyAlignment="1" pivotButton="0" quotePrefix="0" xfId="2">
      <alignment horizontal="center" vertical="center"/>
    </xf>
    <xf numFmtId="0" fontId="17" fillId="0" borderId="64" applyAlignment="1" pivotButton="0" quotePrefix="0" xfId="2">
      <alignment horizontal="center" vertical="center"/>
    </xf>
    <xf numFmtId="164" fontId="22" fillId="7" borderId="37" applyAlignment="1" pivotButton="0" quotePrefix="0" xfId="3">
      <alignment horizontal="center" vertical="center"/>
    </xf>
    <xf numFmtId="165" fontId="21" fillId="7" borderId="37" applyAlignment="1" pivotButton="0" quotePrefix="0" xfId="2">
      <alignment horizontal="center" vertical="center"/>
    </xf>
    <xf numFmtId="165" fontId="21" fillId="7" borderId="36" applyAlignment="1" pivotButton="0" quotePrefix="0" xfId="2">
      <alignment horizontal="center" vertical="center"/>
    </xf>
    <xf numFmtId="164" fontId="22" fillId="7" borderId="33" applyAlignment="1" pivotButton="0" quotePrefix="0" xfId="3">
      <alignment horizontal="center" vertical="center"/>
    </xf>
    <xf numFmtId="165" fontId="21" fillId="7" borderId="33" applyAlignment="1" pivotButton="0" quotePrefix="0" xfId="2">
      <alignment horizontal="center" vertical="center"/>
    </xf>
    <xf numFmtId="165" fontId="21" fillId="7" borderId="32" applyAlignment="1" pivotButton="0" quotePrefix="0" xfId="2">
      <alignment horizontal="center" vertical="center"/>
    </xf>
    <xf numFmtId="165" fontId="21" fillId="5" borderId="36" applyAlignment="1" pivotButton="0" quotePrefix="0" xfId="2">
      <alignment horizontal="center" vertical="center"/>
    </xf>
    <xf numFmtId="165" fontId="21" fillId="5" borderId="32" applyAlignment="1" pivotButton="0" quotePrefix="0" xfId="2">
      <alignment horizontal="center" vertical="center"/>
    </xf>
    <xf numFmtId="164" fontId="22" fillId="0" borderId="0" applyAlignment="1" pivotButton="0" quotePrefix="0" xfId="3">
      <alignment horizontal="center" vertical="center"/>
    </xf>
    <xf numFmtId="165" fontId="21" fillId="0" borderId="0" applyAlignment="1" pivotButton="0" quotePrefix="0" xfId="2">
      <alignment horizontal="center" vertical="center"/>
    </xf>
    <xf numFmtId="165" fontId="22" fillId="0" borderId="0" applyAlignment="1" pivotButton="0" quotePrefix="0" xfId="2">
      <alignment horizontal="center" vertical="center"/>
    </xf>
  </cellXfs>
  <cellStyles count="4">
    <cellStyle name="표준" xfId="0" builtinId="0"/>
    <cellStyle name="쉼표 [0]" xfId="1" builtinId="6"/>
    <cellStyle name="표준 2" xfId="2"/>
    <cellStyle name="쉼표 [0] 2" xf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4</col>
      <colOff>111815</colOff>
      <row>55</row>
      <rowOff>13666</rowOff>
    </from>
    <ext cx="1219200" cy="228600"/>
    <pic>
      <nvPicPr>
        <cNvPr id="5" name="Picture 2" descr="EMB00001b1c3ac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240945" y="12006883"/>
          <a:ext cx="1219200" cy="228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one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46"/>
  <sheetViews>
    <sheetView tabSelected="1" zoomScale="115" zoomScaleNormal="115" workbookViewId="0">
      <selection activeCell="C40" sqref="C40:E40"/>
    </sheetView>
  </sheetViews>
  <sheetFormatPr baseColWidth="8" defaultRowHeight="16.5"/>
  <cols>
    <col width="10" customWidth="1" style="133" min="1" max="1"/>
    <col width="45.5" customWidth="1" style="133" min="2" max="2"/>
    <col width="13.5" customWidth="1" style="133" min="3" max="3"/>
    <col width="11.375" customWidth="1" style="133" min="4" max="4"/>
    <col width="18.625" customWidth="1" style="133" min="5" max="5"/>
    <col width="9" customWidth="1" style="277" min="6" max="6"/>
    <col width="39.375" customWidth="1" style="277" min="7" max="7"/>
    <col width="39.25" customWidth="1" style="277" min="8" max="8"/>
    <col width="38.125" bestFit="1" customWidth="1" style="277" min="9" max="9"/>
    <col width="31.25" customWidth="1" style="277" min="10" max="10"/>
    <col width="23.875" bestFit="1" customWidth="1" style="277" min="11" max="12"/>
    <col width="24.875" bestFit="1" customWidth="1" style="277" min="13" max="13"/>
    <col width="10.125" bestFit="1" customWidth="1" style="277" min="33" max="35"/>
    <col width="10.125" bestFit="1" customWidth="1" style="277" min="38" max="43"/>
    <col width="10.125" bestFit="1" customWidth="1" style="277" min="54" max="54"/>
  </cols>
  <sheetData>
    <row r="1" ht="13.5" customHeight="1" s="277">
      <c r="A1" s="278" t="inlineStr">
        <is>
          <t>님 교육과정 등록금 안내</t>
        </is>
      </c>
      <c r="B1" s="279" t="n"/>
      <c r="C1" s="279" t="n"/>
      <c r="D1" s="279" t="n"/>
      <c r="E1" s="280" t="n"/>
      <c r="G1" s="180" t="inlineStr">
        <is>
          <t>기초아트웍</t>
        </is>
      </c>
      <c r="H1" s="187" t="inlineStr">
        <is>
          <t>웹디자인</t>
        </is>
      </c>
      <c r="I1" s="187" t="inlineStr">
        <is>
          <t>인테리어</t>
        </is>
      </c>
      <c r="J1" s="187" t="n"/>
    </row>
    <row r="2" ht="13.5" customHeight="1" s="277">
      <c r="A2" s="281" t="n"/>
      <c r="E2" s="282" t="n"/>
      <c r="G2" s="283" t="n"/>
      <c r="H2" s="283" t="n"/>
      <c r="I2" s="283" t="n"/>
      <c r="J2" s="283" t="n"/>
    </row>
    <row r="3" ht="14.25" customHeight="1" s="277" thickBot="1">
      <c r="A3" s="284" t="n"/>
      <c r="B3" s="285" t="n"/>
      <c r="C3" s="285" t="n"/>
      <c r="D3" s="285" t="n"/>
      <c r="E3" s="286" t="n"/>
      <c r="G3" s="17" t="inlineStr">
        <is>
          <t>(Basic Artwork) Express onception(발상과표현)</t>
        </is>
      </c>
      <c r="H3" s="17" t="inlineStr">
        <is>
          <t>Infographics(인포그래픽)</t>
        </is>
      </c>
      <c r="I3" s="17" t="inlineStr">
        <is>
          <t>CAD1(캐드 기초)</t>
        </is>
      </c>
      <c r="J3" s="17" t="inlineStr">
        <is>
          <t>실내건축이론1~2</t>
        </is>
      </c>
    </row>
    <row r="4">
      <c r="A4" s="129" t="n"/>
      <c r="B4" s="287" t="n"/>
      <c r="C4" s="207" t="inlineStr">
        <is>
          <t>교육 담당자 : 안재현 교육멘토 (042-710-8921)</t>
        </is>
      </c>
      <c r="D4" s="279" t="n"/>
      <c r="E4" s="279" t="n"/>
      <c r="G4" s="17" t="inlineStr">
        <is>
          <t>(Basic Artwork) Chromatics(색채학)</t>
        </is>
      </c>
      <c r="H4" s="17" t="inlineStr">
        <is>
          <t>Web 1(HTML5/CSS3)</t>
        </is>
      </c>
      <c r="I4" s="17" t="inlineStr">
        <is>
          <t>CAD2(도면제작/CAT)</t>
        </is>
      </c>
      <c r="J4" s="17" t="inlineStr">
        <is>
          <t>실내건축기능사1~2</t>
        </is>
      </c>
    </row>
    <row r="5" ht="17.25" customHeight="1" s="277" thickBot="1">
      <c r="A5" s="2" t="inlineStr">
        <is>
          <t>■ 프로그램 커리큘럼 및 등록금</t>
        </is>
      </c>
      <c r="B5" s="11" t="n"/>
      <c r="C5" s="208" t="n"/>
      <c r="D5" s="285" t="n"/>
      <c r="E5" s="285" t="n"/>
      <c r="G5" s="17" t="inlineStr">
        <is>
          <t>(Basic Artwork) Anatomy(해부학)</t>
        </is>
      </c>
      <c r="H5" s="17" t="inlineStr">
        <is>
          <t>Web 1(HTML5/CSS3)</t>
        </is>
      </c>
      <c r="I5" s="20" t="inlineStr">
        <is>
          <t>SketchUp1(Modeling)</t>
        </is>
      </c>
      <c r="J5" s="17" t="inlineStr">
        <is>
          <t>실내건축산업기사1~3</t>
        </is>
      </c>
    </row>
    <row r="6">
      <c r="A6" s="174" t="inlineStr">
        <is>
          <t>과 정</t>
        </is>
      </c>
      <c r="B6" s="175" t="inlineStr">
        <is>
          <t>과목명</t>
        </is>
      </c>
      <c r="C6" s="288" t="n"/>
      <c r="D6" s="175" t="inlineStr">
        <is>
          <t>COURSE</t>
        </is>
      </c>
      <c r="E6" s="14" t="inlineStr">
        <is>
          <t>등록금</t>
        </is>
      </c>
      <c r="G6" s="187" t="inlineStr">
        <is>
          <t>아트웍</t>
        </is>
      </c>
      <c r="H6" s="17" t="inlineStr">
        <is>
          <t>Web 2(J-query/Java Script)</t>
        </is>
      </c>
      <c r="I6" s="20" t="inlineStr">
        <is>
          <t>SketchUp2(Rendering&amp;V-ray)</t>
        </is>
      </c>
      <c r="J6" s="17" t="inlineStr">
        <is>
          <t xml:space="preserve">실내건축기사1~3 </t>
        </is>
      </c>
    </row>
    <row r="7">
      <c r="A7" s="289" t="inlineStr">
        <is>
          <t>Art work</t>
        </is>
      </c>
      <c r="B7" s="156" t="n"/>
      <c r="C7" s="290" t="n"/>
      <c r="D7" s="291" t="n"/>
      <c r="E7" s="292" t="n"/>
      <c r="G7" s="283" t="n"/>
      <c r="H7" s="17" t="inlineStr">
        <is>
          <t>Web 3(Responsive Web)</t>
        </is>
      </c>
      <c r="I7" s="17" t="inlineStr">
        <is>
          <t>3Ds Max 1(Modeling)</t>
        </is>
      </c>
      <c r="J7" s="17" t="inlineStr">
        <is>
          <t>시공실무 (산업기사/기사)</t>
        </is>
      </c>
    </row>
    <row r="8">
      <c r="A8" s="293" t="n"/>
      <c r="B8" s="156" t="n"/>
      <c r="C8" s="290" t="n"/>
      <c r="D8" s="291" t="n"/>
      <c r="E8" s="292" t="n"/>
      <c r="G8" s="17" t="inlineStr">
        <is>
          <t>Digital Drawing 1 (타블렛 기초)</t>
        </is>
      </c>
      <c r="H8" s="17" t="inlineStr">
        <is>
          <t>UIUX1 (피그마 기초 / UIUX 기초)</t>
        </is>
      </c>
      <c r="I8" s="17" t="inlineStr">
        <is>
          <t>3Ds Max 2(Modeling+)</t>
        </is>
      </c>
      <c r="J8" s="17" t="n"/>
    </row>
    <row r="9" ht="16.5" customHeight="1" s="277">
      <c r="A9" s="293" t="n"/>
      <c r="B9" s="156" t="n"/>
      <c r="C9" s="290" t="n"/>
      <c r="D9" s="291" t="n"/>
      <c r="E9" s="292" t="n"/>
      <c r="G9" s="17" t="inlineStr">
        <is>
          <t>Digital Drawing 2 (구도도식화&amp;얼굴묘사)</t>
        </is>
      </c>
      <c r="H9" s="17" t="inlineStr">
        <is>
          <t>UIUX2 (UX 분석 및 리서칭)</t>
        </is>
      </c>
      <c r="I9" s="17" t="inlineStr">
        <is>
          <t>3Ds Max 3(Rendering&amp;V-ray)</t>
        </is>
      </c>
      <c r="J9" s="180" t="inlineStr">
        <is>
          <t>프로그래밍</t>
        </is>
      </c>
    </row>
    <row r="10" ht="16.5" customHeight="1" s="277">
      <c r="A10" s="293" t="n"/>
      <c r="B10" s="156" t="n"/>
      <c r="C10" s="290" t="n"/>
      <c r="D10" s="291" t="n"/>
      <c r="E10" s="292" t="n"/>
      <c r="G10" s="17" t="inlineStr">
        <is>
          <t>Digital Drawing 3 (채색 기초)</t>
        </is>
      </c>
      <c r="H10" s="17" t="inlineStr">
        <is>
          <t>UIUX3 (UI 제작 및 리디자인)</t>
        </is>
      </c>
      <c r="I10" s="17" t="inlineStr">
        <is>
          <t>Interior Sketch 1 ~ 4</t>
        </is>
      </c>
      <c r="J10" s="283" t="n"/>
    </row>
    <row r="11" ht="16.5" customHeight="1" s="277">
      <c r="A11" s="294" t="n"/>
      <c r="B11" s="156" t="n"/>
      <c r="C11" s="290" t="n"/>
      <c r="D11" s="291" t="n"/>
      <c r="E11" s="292" t="n"/>
      <c r="G11" s="17" t="inlineStr">
        <is>
          <t>Digital Drawing 4 (채색 심화 오브젝트 묘사)</t>
        </is>
      </c>
      <c r="H11" s="17" t="inlineStr">
        <is>
          <t>웹디자인개발기능사</t>
        </is>
      </c>
      <c r="I11" s="17" t="inlineStr">
        <is>
          <t>BIM 1(레빗)</t>
        </is>
      </c>
      <c r="J11" s="17" t="inlineStr">
        <is>
          <t>C언어1</t>
        </is>
      </c>
    </row>
    <row r="12" ht="16.5" customHeight="1" s="277">
      <c r="A12" s="205" t="inlineStr">
        <is>
          <t>Tool</t>
        </is>
      </c>
      <c r="B12" s="155" t="n"/>
      <c r="C12" s="290" t="n"/>
      <c r="D12" s="291" t="n"/>
      <c r="E12" s="292" t="n"/>
      <c r="G12" s="17" t="inlineStr">
        <is>
          <t>Digital Drawing 5 (반 창작)</t>
        </is>
      </c>
      <c r="H12" s="17" t="inlineStr">
        <is>
          <t>바이브코딩/웹</t>
        </is>
      </c>
      <c r="I12" s="17" t="inlineStr">
        <is>
          <t>BIM 2(레빗)</t>
        </is>
      </c>
      <c r="J12" s="17" t="inlineStr">
        <is>
          <t>C언어2</t>
        </is>
      </c>
    </row>
    <row r="13">
      <c r="A13" s="293" t="n"/>
      <c r="B13" s="156" t="n"/>
      <c r="C13" s="290" t="n"/>
      <c r="D13" s="291" t="n"/>
      <c r="E13" s="292" t="n"/>
      <c r="G13" s="17" t="inlineStr">
        <is>
          <t>Digital Drawing 6 (투시도&amp;반창작)</t>
        </is>
      </c>
      <c r="H13" s="17" t="inlineStr">
        <is>
          <t xml:space="preserve">웹 포트폴리오1~2 </t>
        </is>
      </c>
      <c r="I13" s="17" t="inlineStr">
        <is>
          <t>전산응용건축제도기능사</t>
        </is>
      </c>
      <c r="J13" s="17" t="inlineStr">
        <is>
          <t>JAVA 1</t>
        </is>
      </c>
    </row>
    <row r="14" ht="16.5" customHeight="1" s="277">
      <c r="A14" s="293" t="n"/>
      <c r="B14" s="156" t="n"/>
      <c r="C14" s="290" t="n"/>
      <c r="D14" s="291" t="n"/>
      <c r="E14" s="292" t="n"/>
      <c r="G14" s="17" t="inlineStr">
        <is>
          <t>Story Board 1~3 (스토리보드 제작)</t>
        </is>
      </c>
      <c r="H14" s="17" t="n"/>
      <c r="I14" s="17" t="inlineStr">
        <is>
          <t>인테리어 포트폴리오1~3</t>
        </is>
      </c>
      <c r="J14" s="17" t="inlineStr">
        <is>
          <t>JAVA 2</t>
        </is>
      </c>
    </row>
    <row r="15" ht="16.5" customHeight="1" s="277">
      <c r="A15" s="293" t="n"/>
      <c r="B15" s="156" t="n"/>
      <c r="C15" s="290" t="n"/>
      <c r="D15" s="291" t="n"/>
      <c r="E15" s="292" t="n"/>
      <c r="G15" s="17" t="inlineStr">
        <is>
          <t>Story Board 1~6 (스토리보드 입시/실기 대비)</t>
        </is>
      </c>
      <c r="H15" s="17" t="n"/>
      <c r="I15" s="17" t="n"/>
      <c r="J15" s="17" t="inlineStr">
        <is>
          <t>Python 1</t>
        </is>
      </c>
    </row>
    <row r="16" ht="16.5" customHeight="1" s="277">
      <c r="A16" s="293" t="n"/>
      <c r="B16" s="156" t="n"/>
      <c r="C16" s="290" t="n"/>
      <c r="D16" s="291" t="n"/>
      <c r="E16" s="292" t="n"/>
      <c r="G16" s="17" t="inlineStr">
        <is>
          <t>AI크리에이터/아트웍</t>
        </is>
      </c>
      <c r="H16" s="17" t="n"/>
      <c r="I16" s="17" t="n"/>
      <c r="J16" s="17" t="n"/>
    </row>
    <row r="17" ht="16.5" customHeight="1" s="277">
      <c r="A17" s="293" t="n"/>
      <c r="B17" s="155" t="n"/>
      <c r="C17" s="290" t="n"/>
      <c r="D17" s="291" t="n"/>
      <c r="E17" s="292" t="n"/>
      <c r="G17" s="180" t="inlineStr">
        <is>
          <t>DTP편집</t>
        </is>
      </c>
      <c r="H17" s="180" t="inlineStr">
        <is>
          <t>모션그래픽</t>
        </is>
      </c>
      <c r="I17" s="180" t="inlineStr">
        <is>
          <t>CG</t>
        </is>
      </c>
      <c r="J17" s="180" t="inlineStr">
        <is>
          <t>자격증</t>
        </is>
      </c>
    </row>
    <row r="18" ht="16.5" customHeight="1" s="277">
      <c r="A18" s="293" t="n"/>
      <c r="B18" s="156" t="n"/>
      <c r="C18" s="290" t="n"/>
      <c r="D18" s="291" t="n"/>
      <c r="E18" s="292" t="n"/>
      <c r="G18" s="283" t="n"/>
      <c r="H18" s="283" t="n"/>
      <c r="I18" s="283" t="n"/>
      <c r="J18" s="283" t="n"/>
    </row>
    <row r="19" ht="16.5" customHeight="1" s="277">
      <c r="A19" s="293" t="n"/>
      <c r="B19" s="156" t="n"/>
      <c r="C19" s="290" t="n"/>
      <c r="D19" s="291" t="n"/>
      <c r="E19" s="292" t="n"/>
      <c r="G19" s="21" t="inlineStr">
        <is>
          <t>Photoshop(포토샵 기초)</t>
        </is>
      </c>
      <c r="H19" s="17" t="inlineStr">
        <is>
          <t>Premiere Pro</t>
        </is>
      </c>
      <c r="I19" s="17" t="inlineStr">
        <is>
          <t>Maya1 (마야 기초 &amp;모델링)</t>
        </is>
      </c>
      <c r="J19" s="17" t="inlineStr">
        <is>
          <t>MOS Master</t>
        </is>
      </c>
    </row>
    <row r="20" ht="16.5" customHeight="1" s="277">
      <c r="A20" s="293" t="n"/>
      <c r="B20" s="156" t="n"/>
      <c r="C20" s="290" t="n"/>
      <c r="D20" s="291" t="n"/>
      <c r="E20" s="292" t="n"/>
      <c r="G20" s="17" t="inlineStr">
        <is>
          <t>Illustrator(일러스트 기초)</t>
        </is>
      </c>
      <c r="H20" s="21" t="inlineStr">
        <is>
          <t>After effect (에프터이펙트 기초)</t>
        </is>
      </c>
      <c r="I20" s="17" t="inlineStr">
        <is>
          <t>Maya2 (마야 렌더링 / 텍스쳐 / 언리얼 기초)</t>
        </is>
      </c>
      <c r="J20" s="17" t="inlineStr">
        <is>
          <t>컴퓨터활용능력 1급</t>
        </is>
      </c>
    </row>
    <row r="21" ht="16.5" customHeight="1" s="277">
      <c r="A21" s="293" t="n"/>
      <c r="B21" s="156" t="n"/>
      <c r="C21" s="290" t="n"/>
      <c r="D21" s="291" t="n"/>
      <c r="E21" s="292" t="n"/>
      <c r="G21" s="17" t="inlineStr">
        <is>
          <t>PhotoWorks(포토샵 실무/응용/합성집중)</t>
        </is>
      </c>
      <c r="H21" s="22" t="inlineStr">
        <is>
          <t>Motion After effect (에프터이펙트 실무/응용/제작집중)</t>
        </is>
      </c>
      <c r="I21" s="17" t="inlineStr">
        <is>
          <t>Maya3 (리깅 / 언리얼 응용)</t>
        </is>
      </c>
      <c r="J21" s="17" t="inlineStr">
        <is>
          <t>컴퓨터활용능력 2급</t>
        </is>
      </c>
    </row>
    <row r="22" ht="16.5" customHeight="1" s="277">
      <c r="A22" s="293" t="n"/>
      <c r="B22" s="156" t="n"/>
      <c r="C22" s="290" t="n"/>
      <c r="D22" s="291" t="n"/>
      <c r="E22" s="292" t="n"/>
      <c r="G22" s="17" t="inlineStr">
        <is>
          <t>Detail Illustrator(일러스트 실무/응용/제작집중)</t>
        </is>
      </c>
      <c r="H22" s="17" t="inlineStr">
        <is>
          <t>Advance After effect (에프터이펙트 심화/플러그인)</t>
        </is>
      </c>
      <c r="I22" s="17" t="inlineStr">
        <is>
          <t>Maya4 (컴포지팅 / 트랙킹 / 언리얼 렌더)</t>
        </is>
      </c>
      <c r="J22" s="17" t="inlineStr">
        <is>
          <t>전산회계1급</t>
        </is>
      </c>
    </row>
    <row r="23" ht="16.5" customHeight="1" s="277">
      <c r="A23" s="293" t="n"/>
      <c r="B23" s="156" t="n"/>
      <c r="C23" s="290" t="n"/>
      <c r="D23" s="291" t="n"/>
      <c r="E23" s="292" t="n"/>
      <c r="G23" s="138" t="inlineStr">
        <is>
          <t>Graphic Artwork(실무경험/포폴기획)</t>
        </is>
      </c>
      <c r="H23" s="17" t="inlineStr">
        <is>
          <t>Infographics(인포그래픽)</t>
        </is>
      </c>
      <c r="I23" s="17" t="inlineStr">
        <is>
          <t>Maya5 (모델링 심화 / 지브러쉬)</t>
        </is>
      </c>
      <c r="J23" s="17" t="inlineStr">
        <is>
          <t>전산세무2급</t>
        </is>
      </c>
    </row>
    <row r="24" ht="16.5" customHeight="1" s="277">
      <c r="A24" s="293" t="n"/>
      <c r="B24" s="156" t="n"/>
      <c r="C24" s="290" t="n"/>
      <c r="D24" s="291" t="n"/>
      <c r="E24" s="292" t="n"/>
      <c r="G24" s="17" t="inlineStr">
        <is>
          <t>Infographics(인포그래픽)</t>
        </is>
      </c>
      <c r="H24" s="17" t="inlineStr">
        <is>
          <t>YouTube Creator기초</t>
        </is>
      </c>
      <c r="I24" s="17" t="inlineStr">
        <is>
          <t>Maya6 Rigging, Animation(텍스쳐링 심화/합성)</t>
        </is>
      </c>
      <c r="J24" s="17" t="inlineStr">
        <is>
          <t>재경관리사</t>
        </is>
      </c>
    </row>
    <row r="25" ht="16.5" customHeight="1" s="277">
      <c r="A25" s="295" t="inlineStr">
        <is>
          <t>Portfolio</t>
        </is>
      </c>
      <c r="B25" s="156" t="n"/>
      <c r="C25" s="290" t="n"/>
      <c r="D25" s="291" t="n"/>
      <c r="E25" s="292" t="n"/>
      <c r="G25" s="17" t="inlineStr">
        <is>
          <t>Indesign(인디자인)</t>
        </is>
      </c>
      <c r="H25" s="17" t="inlineStr">
        <is>
          <t>YouTube Creator심화</t>
        </is>
      </c>
      <c r="I25" s="17" t="inlineStr">
        <is>
          <t>Maya7 Rigging, Animation(리깅/애니메이선)</t>
        </is>
      </c>
      <c r="J25" s="19" t="n"/>
    </row>
    <row r="26" ht="16.5" customHeight="1" s="277">
      <c r="A26" s="293" t="n"/>
      <c r="B26" s="156" t="n"/>
      <c r="C26" s="290" t="n"/>
      <c r="D26" s="291" t="n"/>
      <c r="E26" s="292" t="n"/>
      <c r="G26" s="17" t="inlineStr">
        <is>
          <t>GTQ</t>
        </is>
      </c>
      <c r="H26" s="17" t="inlineStr">
        <is>
          <t>AI크리에이터 유튜브</t>
        </is>
      </c>
      <c r="I26" s="17" t="inlineStr">
        <is>
          <t>AI크리에이터 CG/마야</t>
        </is>
      </c>
      <c r="J26" s="180" t="inlineStr">
        <is>
          <t>기계/제품</t>
        </is>
      </c>
    </row>
    <row r="27" ht="16.5" customHeight="1" s="277">
      <c r="A27" s="293" t="n"/>
      <c r="B27" s="156" t="n"/>
      <c r="C27" s="290" t="n"/>
      <c r="D27" s="291" t="n"/>
      <c r="E27" s="292" t="n"/>
      <c r="G27" s="17" t="inlineStr">
        <is>
          <t>GTQI</t>
        </is>
      </c>
      <c r="H27" s="17" t="inlineStr">
        <is>
          <t>AI크리에이터 영상/모션</t>
        </is>
      </c>
      <c r="I27" s="17" t="inlineStr">
        <is>
          <t>CG포트폴리오1</t>
        </is>
      </c>
      <c r="J27" s="283" t="n"/>
    </row>
    <row r="28" ht="16.5" customHeight="1" s="277">
      <c r="A28" s="293" t="n"/>
      <c r="B28" s="156" t="n"/>
      <c r="C28" s="290" t="n"/>
      <c r="D28" s="291" t="n"/>
      <c r="E28" s="292" t="n"/>
      <c r="G28" s="17" t="inlineStr">
        <is>
          <t>컬러리스트기사</t>
        </is>
      </c>
      <c r="H28" s="17" t="inlineStr">
        <is>
          <t>Cinema4D 1 Modeling(모델링)</t>
        </is>
      </c>
      <c r="I28" s="17" t="inlineStr">
        <is>
          <t>CG포트폴리오2</t>
        </is>
      </c>
      <c r="J28" s="17" t="inlineStr">
        <is>
          <t>Fusion360 1(퓨전360 모델링)</t>
        </is>
      </c>
    </row>
    <row r="29" ht="16.5" customHeight="1" s="277">
      <c r="A29" s="293" t="n"/>
      <c r="B29" s="156" t="n"/>
      <c r="C29" s="290" t="n"/>
      <c r="D29" s="291" t="n"/>
      <c r="E29" s="292" t="n"/>
      <c r="G29" s="17" t="inlineStr">
        <is>
          <t>컴퓨터그래픽스운용기능사</t>
        </is>
      </c>
      <c r="H29" s="17" t="inlineStr">
        <is>
          <t>Cinema4D 2 Modeling(모델링)</t>
        </is>
      </c>
      <c r="I29" s="17" t="inlineStr">
        <is>
          <t>CG포트폴리오3</t>
        </is>
      </c>
      <c r="J29" s="17" t="inlineStr">
        <is>
          <t>Fusion360 2(퓨전360 렌더링)</t>
        </is>
      </c>
    </row>
    <row r="30" ht="16.5" customHeight="1" s="277">
      <c r="A30" s="294" t="n"/>
      <c r="B30" s="156" t="n"/>
      <c r="C30" s="296" t="n"/>
      <c r="D30" s="297" t="n"/>
      <c r="E30" s="292" t="n"/>
      <c r="G30" s="17" t="inlineStr">
        <is>
          <t>편집포트폴리오1~2</t>
        </is>
      </c>
      <c r="H30" s="17" t="inlineStr">
        <is>
          <t>Cinema4D 3 Rendering(렌더링)</t>
        </is>
      </c>
      <c r="I30" s="17" t="inlineStr">
        <is>
          <t>CG포트폴리오4</t>
        </is>
      </c>
      <c r="J30" s="17" t="inlineStr">
        <is>
          <t>Inventor/주말(기계 모델링)</t>
        </is>
      </c>
    </row>
    <row r="31" ht="32.25" customHeight="1" s="277" thickBot="1">
      <c r="A31" s="171" t="inlineStr">
        <is>
          <t>총 등록금</t>
        </is>
      </c>
      <c r="B31" s="298" t="n"/>
      <c r="C31" s="298" t="n"/>
      <c r="D31" s="299" t="n"/>
      <c r="E31" s="300">
        <f>SUM(E7:E29)</f>
        <v/>
      </c>
      <c r="G31" s="187" t="n"/>
      <c r="H31" s="17" t="inlineStr">
        <is>
          <t>Cinema4D 4 Rigging, Animation(리깅/애니메이션)</t>
        </is>
      </c>
      <c r="I31" s="17" t="inlineStr">
        <is>
          <t>CG포트폴리오5</t>
        </is>
      </c>
      <c r="J31" s="17" t="inlineStr">
        <is>
          <t>전산응용기계제도 실기/주말</t>
        </is>
      </c>
    </row>
    <row r="32" ht="16.5" customHeight="1" s="277">
      <c r="A32" s="4" t="n"/>
      <c r="B32" s="5" t="n"/>
      <c r="C32" s="5" t="n"/>
      <c r="D32" s="4" t="n"/>
      <c r="E32" s="301" t="n"/>
      <c r="G32" s="180" t="inlineStr">
        <is>
          <t>ACP</t>
        </is>
      </c>
      <c r="H32" s="17" t="inlineStr">
        <is>
          <t>Cinema4D 5 Mograph(모그라프)</t>
        </is>
      </c>
      <c r="I32" s="17" t="inlineStr">
        <is>
          <t>CG포트폴리오6</t>
        </is>
      </c>
      <c r="J32" s="17" t="inlineStr">
        <is>
          <t>기계설계산업기사 실기/주말</t>
        </is>
      </c>
    </row>
    <row r="33" ht="17.25" customHeight="1" s="277" thickBot="1">
      <c r="A33" s="7" t="inlineStr">
        <is>
          <t>■ 정규과정 장학지원내역</t>
        </is>
      </c>
      <c r="B33" s="5" t="n"/>
      <c r="C33" s="173" t="n"/>
      <c r="G33" s="283" t="n"/>
      <c r="H33" s="17" t="inlineStr">
        <is>
          <t>Cinema4D 6 Tracking, Realflow(트래킹/리얼플로우)</t>
        </is>
      </c>
      <c r="I33" s="17" t="inlineStr">
        <is>
          <t>CG포트폴리오7</t>
        </is>
      </c>
      <c r="J33" s="17" t="inlineStr">
        <is>
          <t>일반기계기사 실기/주말</t>
        </is>
      </c>
    </row>
    <row r="34" ht="16.5" customHeight="1" s="277">
      <c r="A34" s="174" t="inlineStr">
        <is>
          <t>세부장학지원 내역</t>
        </is>
      </c>
      <c r="B34" s="288" t="n"/>
      <c r="C34" s="175" t="inlineStr">
        <is>
          <t>장학지원율(%)</t>
        </is>
      </c>
      <c r="D34" s="302" t="inlineStr">
        <is>
          <t>지원금액</t>
        </is>
      </c>
      <c r="E34" s="14" t="inlineStr">
        <is>
          <t>장학지원 적용 등록금</t>
        </is>
      </c>
      <c r="G34" s="17" t="inlineStr">
        <is>
          <t>ACP (1과목) 7</t>
        </is>
      </c>
      <c r="H34" s="17" t="n"/>
      <c r="I34" s="17" t="n"/>
      <c r="J34" s="17" t="n"/>
    </row>
    <row r="35" ht="16.5" customHeight="1" s="277">
      <c r="A35" s="303" t="inlineStr">
        <is>
          <t>8월 여름방학 취준생 패키지 지원금 (~08.08)</t>
        </is>
      </c>
      <c r="B35" s="304" t="n"/>
      <c r="C35" s="149" t="n"/>
      <c r="D35" s="305">
        <f>IFERROR(E31-E35,0)</f>
        <v/>
      </c>
      <c r="E35" s="306">
        <f>IFERROR(E31*(1-C35),E31)</f>
        <v/>
      </c>
      <c r="G35" s="17" t="inlineStr">
        <is>
          <t>ACP (2과목) 13</t>
        </is>
      </c>
      <c r="H35" s="17" t="n"/>
      <c r="I35" s="17" t="n"/>
      <c r="J35" s="17" t="n"/>
    </row>
    <row r="36" ht="16.5" customHeight="1" s="277">
      <c r="A36" s="303" t="inlineStr">
        <is>
          <t>온라인강의 결합 지원 (~08.08)</t>
        </is>
      </c>
      <c r="B36" s="304" t="n"/>
      <c r="C36" s="149" t="n"/>
      <c r="D36" s="305">
        <f>IFERROR(E35-E36,0)</f>
        <v/>
      </c>
      <c r="E36" s="306">
        <f>IFERROR(E31*(1-C35)*(1-C36),E31)</f>
        <v/>
      </c>
      <c r="G36" s="17" t="inlineStr">
        <is>
          <t>ACP (3과목) 19</t>
        </is>
      </c>
      <c r="H36" s="17" t="n"/>
      <c r="I36" s="17" t="n"/>
      <c r="J36" s="17" t="n"/>
    </row>
    <row r="37" ht="16.5" customHeight="1" s="277">
      <c r="A37" s="303" t="inlineStr">
        <is>
          <t>현장 첫 강의 결제시 패키지 지원금 (~08.04)</t>
        </is>
      </c>
      <c r="B37" s="304" t="n"/>
      <c r="C37" s="149" t="n"/>
      <c r="D37" s="305">
        <f>IFERROR(E36-E37,0)</f>
        <v/>
      </c>
      <c r="E37" s="306">
        <f>IFERROR(E31*(1-C35)*(1-C36)*(1-C37),E31)</f>
        <v/>
      </c>
      <c r="G37" s="17" t="inlineStr">
        <is>
          <t>ACP (4과목) 25</t>
        </is>
      </c>
      <c r="H37" s="17" t="n"/>
      <c r="I37" s="17" t="n"/>
      <c r="J37" s="17" t="n"/>
    </row>
    <row r="38" ht="16.5" customHeight="1" s="277">
      <c r="A38" s="303" t="inlineStr">
        <is>
          <t>교육상품권 지원 (~08.08)</t>
        </is>
      </c>
      <c r="B38" s="304" t="n"/>
      <c r="C38" s="149" t="n"/>
      <c r="D38" s="305">
        <f>IFERROR(E37-E38,0)</f>
        <v/>
      </c>
      <c r="E38" s="306">
        <f>IFERROR(E31*(1-C35)*(1-C36)*(1-C37)*(1-C38),E31)</f>
        <v/>
      </c>
      <c r="G38" s="17" t="n"/>
      <c r="H38" s="17" t="n"/>
      <c r="I38" s="17" t="n"/>
      <c r="J38" s="17" t="n"/>
    </row>
    <row r="39" ht="16.5" customHeight="1" s="277">
      <c r="A39" s="303" t="inlineStr">
        <is>
          <t xml:space="preserve">직권 할인 </t>
        </is>
      </c>
      <c r="B39" s="304" t="n"/>
      <c r="C39" s="149" t="n"/>
      <c r="D39" s="305">
        <f>IFERROR(E38-E39,0)</f>
        <v/>
      </c>
      <c r="E39" s="306">
        <f>IFERROR(E31*(1-C35)*(1-C36)*(1-C37)*(1-C38)*(1-C39),E31)</f>
        <v/>
      </c>
      <c r="G39" s="17" t="n"/>
      <c r="H39" s="17" t="n"/>
      <c r="I39" s="180" t="n"/>
      <c r="J39" s="17" t="n"/>
    </row>
    <row r="40" ht="36.75" customHeight="1" s="277" thickBot="1">
      <c r="A40" s="185" t="inlineStr">
        <is>
          <t>총 납부해야할 등록금</t>
        </is>
      </c>
      <c r="B40" s="307" t="n"/>
      <c r="C40" s="308">
        <f>IFERROR(E39,0)</f>
        <v/>
      </c>
      <c r="D40" s="309" t="n"/>
      <c r="E40" s="310" t="n"/>
      <c r="G40" s="17" t="n"/>
      <c r="H40" s="17" t="n"/>
      <c r="I40" s="17" t="n"/>
      <c r="J40" s="19" t="n"/>
    </row>
    <row r="41" ht="24.75" customHeight="1" s="277" thickBot="1">
      <c r="A41" s="191" t="inlineStr">
        <is>
          <t>온라인강의 평생 프리패스</t>
        </is>
      </c>
      <c r="B41" s="311" t="n"/>
      <c r="C41" s="312">
        <f>IFERROR(INDEX(G53:M54,1,MATCH(A41,G54:M54,0)),"")</f>
        <v/>
      </c>
      <c r="D41" s="311" t="n"/>
      <c r="E41" s="313" t="n"/>
      <c r="G41" s="17" t="n"/>
      <c r="H41" s="17" t="n"/>
      <c r="I41" s="180" t="n"/>
      <c r="J41" s="19" t="n"/>
    </row>
    <row r="42" ht="24.75" customHeight="1" s="277" thickBot="1">
      <c r="A42" s="314" t="inlineStr">
        <is>
          <t>한 과목당 수강료</t>
        </is>
      </c>
      <c r="B42" s="315" t="n"/>
      <c r="C42" s="316">
        <f>IFERROR(C40/28,0)</f>
        <v/>
      </c>
      <c r="D42" s="311" t="n"/>
      <c r="E42" s="313" t="n"/>
      <c r="G42" s="17" t="n"/>
      <c r="H42" s="17" t="n"/>
      <c r="I42" s="17" t="n"/>
      <c r="J42" s="17" t="n"/>
    </row>
    <row r="43">
      <c r="A43" s="317" t="inlineStr">
        <is>
          <t>국민취업지원제도</t>
        </is>
      </c>
      <c r="B43" s="288" t="n"/>
      <c r="C43" s="175" t="inlineStr">
        <is>
          <t>훈련지원금</t>
        </is>
      </c>
      <c r="D43" s="288" t="n"/>
      <c r="E43" s="14" t="inlineStr">
        <is>
          <t>국비지원 적용 등록금</t>
        </is>
      </c>
      <c r="G43" s="17" t="n"/>
      <c r="H43" s="17" t="n"/>
      <c r="I43" s="17" t="n"/>
      <c r="J43" s="19" t="n"/>
    </row>
    <row r="44">
      <c r="A44" s="144" t="inlineStr">
        <is>
          <t>1유형</t>
        </is>
      </c>
      <c r="B44" s="145" t="inlineStr">
        <is>
          <t xml:space="preserve">구직촉진수당 50만원 * 6개월 </t>
        </is>
      </c>
      <c r="C44" s="318" t="n">
        <v>3000000</v>
      </c>
      <c r="D44" s="304" t="n"/>
      <c r="E44" s="319">
        <f>IFERROR(C40-C44,0)</f>
        <v/>
      </c>
      <c r="G44" s="17" t="n"/>
      <c r="H44" s="17" t="n"/>
      <c r="I44" s="19" t="n"/>
      <c r="J44" s="19" t="n"/>
    </row>
    <row r="45" ht="17.25" customHeight="1" s="277" thickBot="1">
      <c r="A45" s="147" t="inlineStr">
        <is>
          <t>2유형</t>
        </is>
      </c>
      <c r="B45" s="148" t="inlineStr">
        <is>
          <t xml:space="preserve">구직촉진수당 28.4만원 * 6개월 + 구직활동계획 15~25만원 </t>
        </is>
      </c>
      <c r="C45" s="320" t="n">
        <v>1800000</v>
      </c>
      <c r="D45" s="299" t="n"/>
      <c r="E45" s="321">
        <f>IFERROR(C40-C45,0)</f>
        <v/>
      </c>
      <c r="G45" s="17" t="n"/>
      <c r="H45" s="19" t="n"/>
      <c r="I45" s="19" t="n"/>
      <c r="J45" s="19" t="n"/>
    </row>
    <row r="46">
      <c r="A46" s="8" t="n"/>
      <c r="B46" s="9" t="n"/>
      <c r="C46" s="9" t="n"/>
      <c r="D46" s="9" t="n"/>
      <c r="E46" s="9" t="n"/>
      <c r="G46" s="17" t="n"/>
      <c r="H46" s="19" t="n"/>
      <c r="I46" s="17" t="n"/>
      <c r="J46" s="19" t="n"/>
    </row>
    <row r="47">
      <c r="A47" s="8" t="inlineStr">
        <is>
          <t>■ 안내사항</t>
        </is>
      </c>
      <c r="B47" s="8" t="n"/>
      <c r="C47" s="162" t="n"/>
      <c r="D47" s="162" t="n"/>
      <c r="E47" s="322" t="n"/>
      <c r="G47" s="17" t="n"/>
      <c r="H47" s="19" t="n"/>
      <c r="I47" s="19" t="n"/>
      <c r="J47" s="19" t="n"/>
    </row>
    <row r="48">
      <c r="A48" s="8" t="inlineStr">
        <is>
          <t xml:space="preserve">   1) 위 수강료는 학원내 게시되어 있는 수강료 기준이며, 교육청에 신고된 금액입니다.</t>
        </is>
      </c>
      <c r="B48" s="9" t="n"/>
      <c r="C48" s="9" t="n"/>
      <c r="D48" s="9" t="n"/>
      <c r="E48" s="9" t="n"/>
      <c r="G48" s="17" t="n"/>
      <c r="H48" s="19" t="n"/>
      <c r="I48" s="19" t="n"/>
      <c r="J48" s="19" t="n"/>
    </row>
    <row r="49">
      <c r="A49" s="8" t="inlineStr">
        <is>
          <t xml:space="preserve">   2) 위 할인내역은 해당사항에 한해 적용되며, 할인내용에 해당될 시 증명서류를 증빙해야 할인 받을 수</t>
        </is>
      </c>
      <c r="B49" s="9" t="n"/>
      <c r="C49" s="9" t="n"/>
      <c r="D49" s="9" t="n"/>
      <c r="E49" s="9" t="n"/>
      <c r="G49" s="17" t="n"/>
      <c r="H49" s="19" t="n"/>
      <c r="I49" s="19" t="n"/>
      <c r="J49" s="19" t="n"/>
    </row>
    <row r="50">
      <c r="A50" s="8" t="inlineStr">
        <is>
          <t xml:space="preserve">      있습니다.</t>
        </is>
      </c>
      <c r="B50" s="9" t="n"/>
      <c r="C50" s="9" t="n"/>
      <c r="D50" s="9" t="n"/>
      <c r="E50" s="9" t="n"/>
      <c r="G50" s="17" t="n"/>
      <c r="H50" s="19" t="n"/>
      <c r="I50" s="19" t="n"/>
      <c r="J50" s="19" t="n"/>
    </row>
    <row r="51">
      <c r="A51" s="8" t="inlineStr">
        <is>
          <t xml:space="preserve">   3) 등록금 납부일은 최소 개강 3일전까지 완납되어야 수강이 가능하며, 이벤트 할인 및 장학지원을 받을 </t>
        </is>
      </c>
      <c r="B51" s="9" t="n"/>
      <c r="C51" s="9" t="n"/>
      <c r="D51" s="9" t="n"/>
      <c r="E51" s="9" t="n"/>
      <c r="G51" s="17" t="n"/>
      <c r="H51" s="19" t="n"/>
      <c r="I51" s="19" t="n"/>
      <c r="J51" s="19" t="n"/>
    </row>
    <row r="52">
      <c r="A52" s="8" t="inlineStr">
        <is>
          <t xml:space="preserve">      경우나 조기마감되는 과목의 시간에 대한 조기자리배정을 원하는 경우 담당자를 통해 안내되는 기간 </t>
        </is>
      </c>
      <c r="B52" s="9" t="n"/>
      <c r="C52" s="9" t="n"/>
      <c r="D52" s="9" t="n"/>
      <c r="E52" s="9" t="n"/>
      <c r="G52" s="17" t="n"/>
      <c r="H52" s="19" t="n"/>
      <c r="I52" s="19" t="n"/>
      <c r="J52" s="19" t="n"/>
    </row>
    <row r="53">
      <c r="A53" s="8" t="inlineStr">
        <is>
          <t xml:space="preserve">      내에 필히 완납되어야 적용받을 수 있습니다.</t>
        </is>
      </c>
      <c r="B53" s="9" t="n"/>
      <c r="C53" s="9" t="n"/>
      <c r="D53" s="9" t="n"/>
      <c r="E53" s="9" t="n"/>
      <c r="G53" s="323" t="inlineStr">
        <is>
          <t>무료제공</t>
        </is>
      </c>
      <c r="H53" s="323" t="n">
        <v>90000</v>
      </c>
      <c r="I53" s="323" t="n">
        <v>190000</v>
      </c>
      <c r="J53" s="323" t="n">
        <v>320000</v>
      </c>
      <c r="K53" s="323" t="n">
        <v>390000</v>
      </c>
      <c r="L53" s="323" t="n">
        <v>500000</v>
      </c>
      <c r="M53" s="323" t="n">
        <v>990000</v>
      </c>
    </row>
    <row r="54">
      <c r="A54" s="8" t="inlineStr">
        <is>
          <t xml:space="preserve">      있습니다.</t>
        </is>
      </c>
      <c r="B54" s="9" t="n"/>
      <c r="C54" s="9" t="n"/>
      <c r="D54" s="9" t="n"/>
      <c r="E54" s="9" t="n"/>
      <c r="G54" s="132" t="inlineStr">
        <is>
          <t>온라인강의 1개월 프리패스</t>
        </is>
      </c>
      <c r="H54" s="128" t="inlineStr">
        <is>
          <t>온라인강의 OA 1년 패키지</t>
        </is>
      </c>
      <c r="I54" s="128" t="inlineStr">
        <is>
          <t>온라인강의 IT 1년 패키지</t>
        </is>
      </c>
      <c r="J54" s="132" t="inlineStr">
        <is>
          <t>온라인강의 1년 프리패스</t>
        </is>
      </c>
      <c r="K54" s="132" t="inlineStr">
        <is>
          <t>온라인강의 2년 프리패스</t>
        </is>
      </c>
      <c r="L54" s="132" t="inlineStr">
        <is>
          <t>온라인강의 3년 프리패스</t>
        </is>
      </c>
      <c r="M54" s="132" t="inlineStr">
        <is>
          <t>온라인강의 평생 프리패스</t>
        </is>
      </c>
    </row>
    <row r="55">
      <c r="A55" s="8" t="inlineStr">
        <is>
          <t xml:space="preserve">   3) 등록금 납부일은 최소 개강 3일전까지 완납되어야 수강이 가능하며, 이벤트 할인 및 장학지원을 받을 </t>
        </is>
      </c>
      <c r="B55" s="9" t="n"/>
      <c r="C55" s="9" t="n"/>
      <c r="D55" s="9" t="n"/>
      <c r="E55" s="9" t="n"/>
    </row>
    <row r="56">
      <c r="A56" s="8" t="inlineStr">
        <is>
          <t xml:space="preserve">      경우나 조기마감되는 과목의 시간에 대한 조기자리배정을 원하는 경우 담당자를 통해 안내되는 기간 </t>
        </is>
      </c>
      <c r="B56" s="9" t="n"/>
      <c r="C56" s="9" t="n"/>
      <c r="D56" s="9" t="n"/>
      <c r="E56" s="9" t="n"/>
      <c r="H56" s="132" t="n"/>
      <c r="I56" s="132" t="n"/>
      <c r="J56" s="132" t="n"/>
    </row>
    <row r="57">
      <c r="A57" s="8" t="inlineStr">
        <is>
          <t xml:space="preserve">      내에 필히 완납되어야 적용받을 수 있습니다.</t>
        </is>
      </c>
      <c r="B57" s="9" t="n"/>
      <c r="C57" s="9" t="n"/>
      <c r="D57" s="9" t="n"/>
      <c r="E57" s="9" t="n"/>
      <c r="H57" s="132" t="n"/>
      <c r="I57" s="132" t="n"/>
      <c r="J57" s="132" t="n"/>
    </row>
    <row r="58">
      <c r="H58" s="132" t="n"/>
      <c r="I58" s="132" t="n"/>
      <c r="J58" s="132" t="n"/>
    </row>
    <row r="59">
      <c r="H59" s="132" t="n"/>
      <c r="I59" s="132" t="n"/>
      <c r="J59" s="132" t="n"/>
    </row>
    <row r="60">
      <c r="A60" s="8" t="n"/>
      <c r="B60" s="8" t="n"/>
      <c r="C60" s="162" t="n"/>
      <c r="E60" s="322" t="n"/>
    </row>
    <row r="61" customFormat="1" s="132">
      <c r="A61" s="8" t="n"/>
      <c r="B61" s="9" t="n"/>
      <c r="C61" s="9" t="n"/>
      <c r="D61" s="9" t="n"/>
      <c r="E61" s="9" t="n"/>
      <c r="G61" s="138" t="n"/>
    </row>
    <row r="62" customFormat="1" s="132">
      <c r="A62" s="8" t="n"/>
      <c r="B62" s="9" t="n"/>
      <c r="C62" s="9" t="n"/>
      <c r="D62" s="9" t="n"/>
      <c r="E62" s="9" t="n"/>
      <c r="G62" s="138" t="inlineStr">
        <is>
          <t>(Basic Artwork) Express onception(발상과표현)</t>
        </is>
      </c>
      <c r="H62" s="324" t="n">
        <v>350000</v>
      </c>
    </row>
    <row r="63" customFormat="1" s="132">
      <c r="A63" s="8" t="n"/>
      <c r="B63" s="9" t="n"/>
      <c r="C63" s="9" t="n"/>
      <c r="D63" s="9" t="n"/>
      <c r="E63" s="9" t="n"/>
      <c r="G63" s="138" t="inlineStr">
        <is>
          <t>(Basic Artwork) Chromatics(색채학)</t>
        </is>
      </c>
      <c r="H63" s="324" t="n">
        <v>350000</v>
      </c>
    </row>
    <row r="64" customFormat="1" s="132">
      <c r="A64" s="8" t="n"/>
      <c r="B64" s="9" t="n"/>
      <c r="C64" s="9" t="n"/>
      <c r="D64" s="9" t="n"/>
      <c r="E64" s="9" t="n"/>
      <c r="G64" s="138" t="inlineStr">
        <is>
          <t>(Basic Artwork) Anatomy(해부학)</t>
        </is>
      </c>
      <c r="H64" s="324" t="n">
        <v>350000</v>
      </c>
    </row>
    <row r="65" customFormat="1" s="132">
      <c r="A65" s="8" t="n"/>
      <c r="B65" s="9" t="n"/>
      <c r="C65" s="9" t="n"/>
      <c r="D65" s="9" t="n"/>
      <c r="E65" s="9" t="n"/>
      <c r="G65" s="138" t="inlineStr">
        <is>
          <t>(Basic Artwork) Sculpture(조소)</t>
        </is>
      </c>
      <c r="H65" s="324" t="n">
        <v>350000</v>
      </c>
    </row>
    <row r="66" customFormat="1" s="132">
      <c r="A66" s="8" t="n"/>
      <c r="B66" s="9" t="n"/>
      <c r="C66" s="9" t="n"/>
      <c r="D66" s="9" t="n"/>
      <c r="E66" s="9" t="n"/>
      <c r="G66" s="138" t="inlineStr">
        <is>
          <t>Infographics(인포그래픽)</t>
        </is>
      </c>
      <c r="H66" s="325" t="n">
        <v>400000</v>
      </c>
    </row>
    <row r="67" customFormat="1" s="132">
      <c r="A67" s="8" t="n"/>
      <c r="B67" s="9" t="n"/>
      <c r="C67" s="9" t="n"/>
      <c r="D67" s="9" t="n"/>
      <c r="E67" s="9" t="n"/>
      <c r="G67" s="138" t="inlineStr">
        <is>
          <t>Web 1(HTML5/CSS3)</t>
        </is>
      </c>
      <c r="H67" s="325" t="n">
        <v>400000</v>
      </c>
    </row>
    <row r="68" customFormat="1" s="132">
      <c r="A68" s="133" t="n"/>
      <c r="B68" s="133" t="n"/>
      <c r="C68" s="133" t="n"/>
      <c r="D68" s="133" t="n"/>
      <c r="E68" s="133" t="n"/>
      <c r="G68" s="138" t="inlineStr">
        <is>
          <t>Web 2(J-query/Java Script)</t>
        </is>
      </c>
      <c r="H68" s="325" t="n">
        <v>400000</v>
      </c>
    </row>
    <row r="69" customFormat="1" s="132">
      <c r="A69" s="133" t="n"/>
      <c r="B69" s="133" t="n"/>
      <c r="C69" s="133" t="n"/>
      <c r="D69" s="133" t="n"/>
      <c r="E69" s="133" t="n"/>
      <c r="G69" s="138" t="inlineStr">
        <is>
          <t>Web 3(Responsive Web)</t>
        </is>
      </c>
      <c r="H69" s="325" t="n">
        <v>400000</v>
      </c>
    </row>
    <row r="70" customFormat="1" s="132">
      <c r="A70" s="133" t="n"/>
      <c r="B70" s="133" t="n"/>
      <c r="C70" s="133" t="n"/>
      <c r="D70" s="133" t="n"/>
      <c r="E70" s="133" t="n"/>
      <c r="G70" s="138" t="inlineStr">
        <is>
          <t>Web 4(Web Template)</t>
        </is>
      </c>
      <c r="H70" s="325" t="n">
        <v>400000</v>
      </c>
    </row>
    <row r="71" customFormat="1" s="132">
      <c r="A71" s="133" t="n"/>
      <c r="B71" s="133" t="n"/>
      <c r="C71" s="133" t="n"/>
      <c r="D71" s="133" t="n"/>
      <c r="E71" s="133" t="n"/>
      <c r="G71" s="138" t="inlineStr">
        <is>
          <t>Web 5(UIUX 1)</t>
        </is>
      </c>
      <c r="H71" s="325" t="n">
        <v>400000</v>
      </c>
    </row>
    <row r="72" customFormat="1" s="132">
      <c r="A72" s="133" t="n"/>
      <c r="B72" s="133" t="n"/>
      <c r="C72" s="133" t="n"/>
      <c r="D72" s="133" t="n"/>
      <c r="E72" s="133" t="n"/>
      <c r="G72" s="138" t="inlineStr">
        <is>
          <t>Web 6(UIUX 2)</t>
        </is>
      </c>
      <c r="H72" s="325" t="n">
        <v>400000</v>
      </c>
    </row>
    <row r="73" customFormat="1" s="132">
      <c r="A73" s="133" t="n"/>
      <c r="B73" s="133" t="n"/>
      <c r="C73" s="133" t="n"/>
      <c r="D73" s="133" t="n"/>
      <c r="E73" s="133" t="n"/>
      <c r="G73" s="138" t="inlineStr">
        <is>
          <t>웹디자인기능사</t>
        </is>
      </c>
      <c r="H73" s="325" t="n">
        <v>350000</v>
      </c>
    </row>
    <row r="74" customFormat="1" s="132">
      <c r="A74" s="133" t="n"/>
      <c r="B74" s="133" t="n"/>
      <c r="C74" s="133" t="n"/>
      <c r="D74" s="133" t="n"/>
      <c r="E74" s="133" t="n"/>
      <c r="G74" s="138" t="inlineStr">
        <is>
          <t>CAD1(캐드 기초)</t>
        </is>
      </c>
      <c r="H74" s="325" t="n">
        <v>350000</v>
      </c>
    </row>
    <row r="75" customFormat="1" s="132">
      <c r="A75" s="133" t="n"/>
      <c r="B75" s="133" t="n"/>
      <c r="C75" s="133" t="n"/>
      <c r="D75" s="133" t="n"/>
      <c r="E75" s="133" t="n"/>
      <c r="G75" s="138" t="inlineStr">
        <is>
          <t>CAD2(도면제작/CAT)</t>
        </is>
      </c>
      <c r="H75" s="325" t="n">
        <v>350000</v>
      </c>
    </row>
    <row r="76" customFormat="1" s="132">
      <c r="A76" s="133" t="n"/>
      <c r="B76" s="133" t="n"/>
      <c r="C76" s="133" t="n"/>
      <c r="D76" s="133" t="n"/>
      <c r="E76" s="133" t="n"/>
      <c r="G76" s="135" t="inlineStr">
        <is>
          <t>SketchUp1(Modeling)</t>
        </is>
      </c>
      <c r="H76" s="325" t="n">
        <v>400000</v>
      </c>
      <c r="I76" s="132" t="n"/>
    </row>
    <row r="77" customFormat="1" s="132">
      <c r="A77" s="133" t="n"/>
      <c r="B77" s="133" t="n"/>
      <c r="C77" s="133" t="n"/>
      <c r="D77" s="133" t="n"/>
      <c r="E77" s="133" t="n"/>
      <c r="G77" s="135" t="inlineStr">
        <is>
          <t>SketchUp2(Rendering&amp;V-ray)</t>
        </is>
      </c>
      <c r="H77" s="325" t="n">
        <v>400000</v>
      </c>
      <c r="I77" s="132" t="n"/>
    </row>
    <row r="78" customFormat="1" s="132">
      <c r="A78" s="133" t="n"/>
      <c r="B78" s="133" t="n"/>
      <c r="C78" s="133" t="n"/>
      <c r="D78" s="133" t="n"/>
      <c r="E78" s="133" t="n"/>
      <c r="G78" s="138" t="inlineStr">
        <is>
          <t>3Ds Max 1(Modeling)</t>
        </is>
      </c>
      <c r="H78" s="325" t="n">
        <v>400000</v>
      </c>
      <c r="I78" s="29" t="n"/>
    </row>
    <row r="79" customFormat="1" s="132">
      <c r="A79" s="133" t="n"/>
      <c r="B79" s="133" t="n"/>
      <c r="C79" s="133" t="n"/>
      <c r="D79" s="133" t="n"/>
      <c r="E79" s="133" t="n"/>
      <c r="G79" s="138" t="inlineStr">
        <is>
          <t>3Ds Max 2(Modeling+)</t>
        </is>
      </c>
      <c r="H79" s="325" t="n">
        <v>400000</v>
      </c>
      <c r="I79" s="29" t="n"/>
    </row>
    <row r="80" customFormat="1" s="132">
      <c r="A80" s="133" t="n"/>
      <c r="B80" s="133" t="n"/>
      <c r="C80" s="133" t="n"/>
      <c r="D80" s="133" t="n"/>
      <c r="E80" s="133" t="n"/>
      <c r="G80" s="138" t="inlineStr">
        <is>
          <t>3Ds Max 3(Rendering&amp;V-ray)</t>
        </is>
      </c>
      <c r="H80" s="325" t="n">
        <v>400000</v>
      </c>
      <c r="I80" s="29" t="n"/>
    </row>
    <row r="81" customFormat="1" s="132">
      <c r="A81" s="133" t="n"/>
      <c r="B81" s="133" t="n"/>
      <c r="C81" s="133" t="n"/>
      <c r="D81" s="133" t="n"/>
      <c r="E81" s="133" t="n"/>
      <c r="G81" s="138" t="inlineStr">
        <is>
          <t>Interior Sketch 1 ~ 2</t>
        </is>
      </c>
      <c r="H81" s="325" t="n">
        <v>400000</v>
      </c>
      <c r="I81" s="33" t="n"/>
    </row>
    <row r="82" customFormat="1" s="132">
      <c r="A82" s="133" t="n"/>
      <c r="B82" s="133" t="n"/>
      <c r="C82" s="133" t="n"/>
      <c r="D82" s="133" t="n"/>
      <c r="E82" s="133" t="n"/>
      <c r="G82" s="138" t="inlineStr">
        <is>
          <t>Interior Sketch 1 ~ 3</t>
        </is>
      </c>
      <c r="H82" s="325" t="n">
        <v>400000</v>
      </c>
      <c r="I82" s="33" t="n"/>
    </row>
    <row r="83" customFormat="1" s="132">
      <c r="A83" s="133" t="n"/>
      <c r="B83" s="133" t="n"/>
      <c r="C83" s="133" t="n"/>
      <c r="D83" s="133" t="n"/>
      <c r="E83" s="133" t="n"/>
      <c r="G83" s="138" t="inlineStr">
        <is>
          <t>Interior Sketch 1 ~ 4</t>
        </is>
      </c>
      <c r="H83" s="325" t="n">
        <v>400000</v>
      </c>
      <c r="I83" s="29" t="n"/>
    </row>
    <row r="84" customFormat="1" s="132">
      <c r="A84" s="133" t="n"/>
      <c r="B84" s="133" t="n"/>
      <c r="C84" s="133" t="n"/>
      <c r="D84" s="133" t="n"/>
      <c r="E84" s="133" t="n"/>
      <c r="G84" s="138" t="inlineStr">
        <is>
          <t>Interior Sketch 1 ~ 5</t>
        </is>
      </c>
      <c r="H84" s="325" t="n">
        <v>400000</v>
      </c>
      <c r="I84" s="29" t="n"/>
    </row>
    <row r="85" customFormat="1" s="132">
      <c r="A85" s="133" t="n"/>
      <c r="B85" s="133" t="n"/>
      <c r="C85" s="133" t="n"/>
      <c r="D85" s="133" t="n"/>
      <c r="E85" s="133" t="n"/>
      <c r="G85" s="138" t="inlineStr">
        <is>
          <t>Interior Sketch 1 ~ 6</t>
        </is>
      </c>
      <c r="H85" s="325" t="n">
        <v>400000</v>
      </c>
      <c r="I85" s="29" t="n"/>
    </row>
    <row r="86" customFormat="1" s="132">
      <c r="A86" s="133" t="n"/>
      <c r="B86" s="133" t="n"/>
      <c r="C86" s="133" t="n"/>
      <c r="D86" s="133" t="n"/>
      <c r="E86" s="133" t="n"/>
      <c r="G86" s="138" t="inlineStr">
        <is>
          <t>BIM 1(레빗)</t>
        </is>
      </c>
      <c r="H86" s="325" t="n">
        <v>400000</v>
      </c>
      <c r="I86" s="29" t="n"/>
    </row>
    <row r="87" customFormat="1" s="132">
      <c r="A87" s="133" t="n"/>
      <c r="B87" s="133" t="n"/>
      <c r="C87" s="133" t="n"/>
      <c r="D87" s="133" t="n"/>
      <c r="E87" s="133" t="n"/>
      <c r="G87" s="138" t="inlineStr">
        <is>
          <t>BIM 2(레빗)</t>
        </is>
      </c>
      <c r="H87" s="325" t="n">
        <v>400000</v>
      </c>
      <c r="I87" s="29" t="n"/>
    </row>
    <row r="88" customFormat="1" s="132">
      <c r="A88" s="133" t="n"/>
      <c r="B88" s="133" t="n"/>
      <c r="C88" s="133" t="n"/>
      <c r="D88" s="133" t="n"/>
      <c r="E88" s="133" t="n"/>
      <c r="G88" s="138" t="inlineStr">
        <is>
          <t>제도1 ~ 4 (실내건축자격증)</t>
        </is>
      </c>
      <c r="H88" s="325" t="n">
        <v>1600000</v>
      </c>
      <c r="I88" s="29" t="n"/>
    </row>
    <row r="89" customFormat="1" s="132">
      <c r="A89" s="133" t="n"/>
      <c r="B89" s="133" t="n"/>
      <c r="C89" s="133" t="n"/>
      <c r="D89" s="133" t="n"/>
      <c r="E89" s="133" t="n"/>
      <c r="G89" s="138" t="inlineStr">
        <is>
          <t>제도1 ~ 5 (실내건축자격증)</t>
        </is>
      </c>
      <c r="H89" s="325" t="n">
        <v>2000000</v>
      </c>
      <c r="I89" s="29" t="n"/>
    </row>
    <row r="90" customFormat="1" s="132">
      <c r="A90" s="133" t="n"/>
      <c r="B90" s="133" t="n"/>
      <c r="C90" s="133" t="n"/>
      <c r="D90" s="133" t="n"/>
      <c r="E90" s="133" t="n"/>
      <c r="G90" s="138" t="inlineStr">
        <is>
          <t>제도1 ~ 6 (실내건축자격증)</t>
        </is>
      </c>
      <c r="H90" s="325" t="n">
        <v>2400000</v>
      </c>
      <c r="I90" s="29" t="n"/>
    </row>
    <row r="91" customFormat="1" s="132">
      <c r="A91" s="133" t="n"/>
      <c r="B91" s="133" t="n"/>
      <c r="C91" s="133" t="n"/>
      <c r="D91" s="133" t="n"/>
      <c r="E91" s="133" t="n"/>
      <c r="G91" s="138" t="inlineStr">
        <is>
          <t>시공실무 (산업기사/기사)</t>
        </is>
      </c>
      <c r="H91" s="325" t="n">
        <v>300000</v>
      </c>
      <c r="I91" s="29" t="n"/>
    </row>
    <row r="92" customFormat="1" s="132">
      <c r="A92" s="133" t="n"/>
      <c r="B92" s="133" t="n"/>
      <c r="C92" s="133" t="n"/>
      <c r="D92" s="133" t="n"/>
      <c r="E92" s="133" t="n"/>
      <c r="G92" s="138" t="inlineStr">
        <is>
          <t>전산응용건축제도기능사</t>
        </is>
      </c>
      <c r="H92" s="325" t="n">
        <v>450000</v>
      </c>
      <c r="I92" s="29" t="n"/>
    </row>
    <row r="93" customFormat="1" s="132">
      <c r="A93" s="133" t="n"/>
      <c r="B93" s="133" t="n"/>
      <c r="C93" s="133" t="n"/>
      <c r="D93" s="133" t="n"/>
      <c r="E93" s="133" t="n"/>
      <c r="G93" s="138" t="inlineStr">
        <is>
          <t>Digital Drawing 1</t>
        </is>
      </c>
      <c r="H93" s="325" t="n">
        <v>500000</v>
      </c>
      <c r="I93" s="33" t="n"/>
    </row>
    <row r="94" customFormat="1" s="132">
      <c r="A94" s="133" t="n"/>
      <c r="B94" s="133" t="n"/>
      <c r="C94" s="133" t="n"/>
      <c r="D94" s="133" t="n"/>
      <c r="E94" s="133" t="n"/>
      <c r="G94" s="138" t="inlineStr">
        <is>
          <t>Digital Drawing 1 ~ 2</t>
        </is>
      </c>
      <c r="H94" s="325" t="n">
        <v>1000000</v>
      </c>
      <c r="I94" s="33" t="n"/>
    </row>
    <row r="95" customFormat="1" s="132">
      <c r="A95" s="133" t="n"/>
      <c r="B95" s="133" t="n"/>
      <c r="C95" s="133" t="n"/>
      <c r="D95" s="133" t="n"/>
      <c r="E95" s="133" t="n"/>
      <c r="G95" s="138" t="inlineStr">
        <is>
          <t>Digital Drawing 1 ~ 3</t>
        </is>
      </c>
      <c r="H95" s="325" t="n">
        <v>1500000</v>
      </c>
      <c r="I95" s="33" t="n"/>
    </row>
    <row r="96" customFormat="1" s="132">
      <c r="A96" s="133" t="n"/>
      <c r="B96" s="133" t="n"/>
      <c r="C96" s="133" t="n"/>
      <c r="D96" s="133" t="n"/>
      <c r="E96" s="133" t="n"/>
      <c r="G96" s="138" t="inlineStr">
        <is>
          <t>Digital Drawing 1 ~ 4</t>
        </is>
      </c>
      <c r="H96" s="325" t="n">
        <v>2000000</v>
      </c>
      <c r="I96" s="132" t="n"/>
    </row>
    <row r="97" customFormat="1" s="132">
      <c r="A97" s="133" t="n"/>
      <c r="B97" s="133" t="n"/>
      <c r="C97" s="133" t="n"/>
      <c r="D97" s="133" t="n"/>
      <c r="E97" s="133" t="n"/>
      <c r="G97" s="138" t="inlineStr">
        <is>
          <t>Digital Drawing 1 ~ 5</t>
        </is>
      </c>
      <c r="H97" s="325" t="n">
        <v>2500000</v>
      </c>
      <c r="I97" s="132" t="n"/>
    </row>
    <row r="98" customFormat="1" s="132">
      <c r="A98" s="133" t="n"/>
      <c r="B98" s="133" t="n"/>
      <c r="C98" s="133" t="n"/>
      <c r="D98" s="133" t="n"/>
      <c r="E98" s="133" t="n"/>
      <c r="G98" s="138" t="inlineStr">
        <is>
          <t>Digital Drawing 1 ~ 6</t>
        </is>
      </c>
      <c r="H98" s="325" t="n">
        <v>3000000</v>
      </c>
    </row>
    <row r="99" customFormat="1" s="132">
      <c r="A99" s="133" t="n"/>
      <c r="B99" s="133" t="n"/>
      <c r="C99" s="133" t="n"/>
      <c r="D99" s="133" t="n"/>
      <c r="E99" s="133" t="n"/>
      <c r="G99" s="137" t="inlineStr">
        <is>
          <t>Photoshop(포토샵 기초)</t>
        </is>
      </c>
      <c r="H99" s="325" t="n">
        <v>350000</v>
      </c>
    </row>
    <row r="100" customFormat="1" s="132">
      <c r="A100" s="133" t="n"/>
      <c r="B100" s="133" t="n"/>
      <c r="C100" s="133" t="n"/>
      <c r="D100" s="133" t="n"/>
      <c r="E100" s="133" t="n"/>
      <c r="G100" s="138" t="inlineStr">
        <is>
          <t>Illustrator(일러스트 기초)</t>
        </is>
      </c>
      <c r="H100" s="325" t="n">
        <v>350000</v>
      </c>
    </row>
    <row r="101" customFormat="1" s="132">
      <c r="A101" s="133" t="n"/>
      <c r="B101" s="133" t="n"/>
      <c r="C101" s="133" t="n"/>
      <c r="D101" s="133" t="n"/>
      <c r="E101" s="133" t="n"/>
      <c r="G101" s="138" t="inlineStr">
        <is>
          <t>PhotoWorks(포토샵 실무/응용/합성집중)</t>
        </is>
      </c>
      <c r="H101" s="325" t="n">
        <v>400000</v>
      </c>
    </row>
    <row r="102" customFormat="1" s="132">
      <c r="A102" s="133" t="n"/>
      <c r="B102" s="133" t="n"/>
      <c r="C102" s="133" t="n"/>
      <c r="D102" s="133" t="n"/>
      <c r="E102" s="133" t="n"/>
      <c r="G102" s="138" t="inlineStr">
        <is>
          <t>Detail Illustrator(일러스트 실무/응용/제작집중)</t>
        </is>
      </c>
      <c r="H102" s="325" t="n">
        <v>400000</v>
      </c>
    </row>
    <row r="103" customFormat="1" s="132">
      <c r="A103" s="133" t="n"/>
      <c r="B103" s="133" t="n"/>
      <c r="C103" s="133" t="n"/>
      <c r="D103" s="133" t="n"/>
      <c r="E103" s="133" t="n"/>
      <c r="G103" s="138" t="inlineStr">
        <is>
          <t>Infographics(인포그래픽)</t>
        </is>
      </c>
      <c r="H103" s="325" t="n">
        <v>400000</v>
      </c>
    </row>
    <row r="104" customFormat="1" s="132">
      <c r="A104" s="133" t="n"/>
      <c r="B104" s="133" t="n"/>
      <c r="C104" s="133" t="n"/>
      <c r="D104" s="133" t="n"/>
      <c r="E104" s="133" t="n"/>
      <c r="G104" s="138" t="inlineStr">
        <is>
          <t>Graphic Artwork(실무경험/포폴기획)</t>
        </is>
      </c>
      <c r="H104" s="325" t="n">
        <v>400000</v>
      </c>
    </row>
    <row r="105" customFormat="1" s="132">
      <c r="A105" s="133" t="n"/>
      <c r="B105" s="133" t="n"/>
      <c r="C105" s="133" t="n"/>
      <c r="D105" s="133" t="n"/>
      <c r="E105" s="133" t="n"/>
      <c r="G105" s="138" t="inlineStr">
        <is>
          <t>Indesign(인디자인)</t>
        </is>
      </c>
      <c r="H105" s="325" t="n">
        <v>350000</v>
      </c>
    </row>
    <row r="106" customFormat="1" s="132">
      <c r="A106" s="133" t="n"/>
      <c r="B106" s="133" t="n"/>
      <c r="C106" s="133" t="n"/>
      <c r="D106" s="133" t="n"/>
      <c r="E106" s="133" t="n"/>
      <c r="G106" s="138" t="inlineStr">
        <is>
          <t>GTQ</t>
        </is>
      </c>
      <c r="H106" s="325" t="n">
        <v>200000</v>
      </c>
    </row>
    <row r="107" customFormat="1" s="132">
      <c r="A107" s="133" t="n"/>
      <c r="B107" s="133" t="n"/>
      <c r="C107" s="133" t="n"/>
      <c r="D107" s="133" t="n"/>
      <c r="E107" s="133" t="n"/>
      <c r="G107" s="138" t="inlineStr">
        <is>
          <t>컬러리스트기사</t>
        </is>
      </c>
      <c r="H107" s="325" t="n">
        <v>400000</v>
      </c>
    </row>
    <row r="108" customFormat="1" s="132">
      <c r="A108" s="133" t="n"/>
      <c r="B108" s="133" t="n"/>
      <c r="C108" s="133" t="n"/>
      <c r="D108" s="133" t="n"/>
      <c r="E108" s="133" t="n"/>
      <c r="G108" s="138" t="inlineStr">
        <is>
          <t>컴퓨터그래픽스운용기능사</t>
        </is>
      </c>
      <c r="H108" s="325" t="n">
        <v>300000</v>
      </c>
    </row>
    <row r="109" customFormat="1" s="132">
      <c r="A109" s="133" t="n"/>
      <c r="B109" s="133" t="n"/>
      <c r="C109" s="133" t="n"/>
      <c r="D109" s="133" t="n"/>
      <c r="E109" s="133" t="n"/>
      <c r="G109" s="138" t="inlineStr">
        <is>
          <t>Premiere Pro</t>
        </is>
      </c>
      <c r="H109" s="325" t="n">
        <v>350000</v>
      </c>
    </row>
    <row r="110" customFormat="1" s="132">
      <c r="A110" s="133" t="n"/>
      <c r="B110" s="133" t="n"/>
      <c r="C110" s="133" t="n"/>
      <c r="D110" s="133" t="n"/>
      <c r="E110" s="133" t="n"/>
      <c r="G110" s="137" t="inlineStr">
        <is>
          <t>After effect (에프터이펙트 기초)</t>
        </is>
      </c>
      <c r="H110" s="325" t="n">
        <v>400000</v>
      </c>
    </row>
    <row r="111" customFormat="1" s="132">
      <c r="A111" s="133" t="n"/>
      <c r="B111" s="133" t="n"/>
      <c r="C111" s="133" t="n"/>
      <c r="D111" s="133" t="n"/>
      <c r="E111" s="133" t="n"/>
      <c r="G111" s="138" t="inlineStr">
        <is>
          <t>Motion After effect (에프터이펙트 실무)</t>
        </is>
      </c>
      <c r="H111" s="325" t="n">
        <v>400000</v>
      </c>
    </row>
    <row r="112" customFormat="1" s="132">
      <c r="A112" s="133" t="n"/>
      <c r="B112" s="133" t="n"/>
      <c r="C112" s="133" t="n"/>
      <c r="D112" s="133" t="n"/>
      <c r="E112" s="133" t="n"/>
      <c r="G112" s="138" t="inlineStr">
        <is>
          <t>Infographics(인포그래픽)</t>
        </is>
      </c>
      <c r="H112" s="325" t="n">
        <v>400000</v>
      </c>
    </row>
    <row r="113" customFormat="1" s="132">
      <c r="A113" s="133" t="n"/>
      <c r="B113" s="133" t="n"/>
      <c r="C113" s="133" t="n"/>
      <c r="D113" s="133" t="n"/>
      <c r="E113" s="133" t="n"/>
      <c r="G113" s="138" t="inlineStr">
        <is>
          <t>YouTube Creator기초</t>
        </is>
      </c>
      <c r="H113" s="325" t="n">
        <v>400000</v>
      </c>
    </row>
    <row r="114" customFormat="1" s="132">
      <c r="A114" s="133" t="n"/>
      <c r="B114" s="133" t="n"/>
      <c r="C114" s="133" t="n"/>
      <c r="D114" s="133" t="n"/>
      <c r="E114" s="133" t="n"/>
      <c r="G114" s="138" t="inlineStr">
        <is>
          <t>YouTube Creator심화</t>
        </is>
      </c>
      <c r="H114" s="325" t="n">
        <v>400000</v>
      </c>
    </row>
    <row r="115" customFormat="1" s="132">
      <c r="A115" s="133" t="n"/>
      <c r="B115" s="133" t="n"/>
      <c r="C115" s="133" t="n"/>
      <c r="D115" s="133" t="n"/>
      <c r="E115" s="133" t="n"/>
      <c r="G115" s="138" t="inlineStr">
        <is>
          <t>Cinema4D 1 Modeling(모델링)</t>
        </is>
      </c>
      <c r="H115" s="325" t="n">
        <v>500000</v>
      </c>
    </row>
    <row r="116" customFormat="1" s="132">
      <c r="A116" s="133" t="n"/>
      <c r="B116" s="133" t="n"/>
      <c r="C116" s="133" t="n"/>
      <c r="D116" s="133" t="n"/>
      <c r="E116" s="133" t="n"/>
      <c r="G116" s="138" t="inlineStr">
        <is>
          <t>Cinema4D 2 Modeling(모델링)</t>
        </is>
      </c>
      <c r="H116" s="325" t="n">
        <v>500000</v>
      </c>
    </row>
    <row r="117" customFormat="1" s="132">
      <c r="A117" s="133" t="n"/>
      <c r="B117" s="133" t="n"/>
      <c r="C117" s="133" t="n"/>
      <c r="D117" s="133" t="n"/>
      <c r="E117" s="133" t="n"/>
      <c r="G117" s="138" t="inlineStr">
        <is>
          <t>Cinema4D 3 Rendering(렌더링)</t>
        </is>
      </c>
      <c r="H117" s="325" t="n">
        <v>500000</v>
      </c>
    </row>
    <row r="118" customFormat="1" s="132">
      <c r="A118" s="133" t="n"/>
      <c r="B118" s="133" t="n"/>
      <c r="C118" s="133" t="n"/>
      <c r="D118" s="133" t="n"/>
      <c r="E118" s="133" t="n"/>
      <c r="G118" s="138" t="inlineStr">
        <is>
          <t>Cinema4D 4 Rigging, Animation(리깅/애니메이션)</t>
        </is>
      </c>
      <c r="H118" s="325" t="n">
        <v>500000</v>
      </c>
    </row>
    <row r="119" customFormat="1" s="132">
      <c r="A119" s="133" t="n"/>
      <c r="B119" s="133" t="n"/>
      <c r="C119" s="133" t="n"/>
      <c r="D119" s="133" t="n"/>
      <c r="E119" s="133" t="n"/>
      <c r="G119" s="138" t="inlineStr">
        <is>
          <t>Cinema4D 5 Mograph(모그라프)</t>
        </is>
      </c>
      <c r="H119" s="325" t="n">
        <v>500000</v>
      </c>
    </row>
    <row r="120" customFormat="1" s="132">
      <c r="A120" s="133" t="n"/>
      <c r="B120" s="133" t="n"/>
      <c r="C120" s="133" t="n"/>
      <c r="D120" s="133" t="n"/>
      <c r="E120" s="133" t="n"/>
      <c r="G120" s="138" t="inlineStr">
        <is>
          <t>Cinema4D 6 Tracking, Realflow(트래킹/리얼플로우)</t>
        </is>
      </c>
      <c r="H120" s="325" t="n">
        <v>500000</v>
      </c>
    </row>
    <row r="121" customFormat="1" s="132">
      <c r="A121" s="133" t="n"/>
      <c r="B121" s="133" t="n"/>
      <c r="C121" s="133" t="n"/>
      <c r="D121" s="133" t="n"/>
      <c r="E121" s="133" t="n"/>
      <c r="G121" s="138" t="inlineStr">
        <is>
          <t>Maya1 Modeling(모델링)</t>
        </is>
      </c>
      <c r="H121" s="325" t="n">
        <v>600000</v>
      </c>
    </row>
    <row r="122" customFormat="1" s="132">
      <c r="A122" s="133" t="n"/>
      <c r="B122" s="133" t="n"/>
      <c r="C122" s="133" t="n"/>
      <c r="D122" s="133" t="n"/>
      <c r="E122" s="133" t="n"/>
      <c r="G122" s="138" t="inlineStr">
        <is>
          <t>Maya2 Modeling(모델링)</t>
        </is>
      </c>
      <c r="H122" s="325" t="n">
        <v>600000</v>
      </c>
    </row>
    <row r="123" customFormat="1" s="132">
      <c r="A123" s="133" t="n"/>
      <c r="B123" s="133" t="n"/>
      <c r="C123" s="133" t="n"/>
      <c r="D123" s="133" t="n"/>
      <c r="E123" s="133" t="n"/>
      <c r="G123" s="138" t="inlineStr">
        <is>
          <t>Maya3 Rendering(렌더링)</t>
        </is>
      </c>
      <c r="H123" s="325" t="n">
        <v>600000</v>
      </c>
    </row>
    <row r="124" customFormat="1" s="132">
      <c r="A124" s="133" t="n"/>
      <c r="B124" s="133" t="n"/>
      <c r="C124" s="133" t="n"/>
      <c r="D124" s="133" t="n"/>
      <c r="E124" s="133" t="n"/>
      <c r="G124" s="138" t="inlineStr">
        <is>
          <t>Maya4 Rendering(렌더링)</t>
        </is>
      </c>
      <c r="H124" s="325" t="n">
        <v>600000</v>
      </c>
    </row>
    <row r="125" customFormat="1" s="132">
      <c r="A125" s="133" t="n"/>
      <c r="B125" s="133" t="n"/>
      <c r="C125" s="133" t="n"/>
      <c r="D125" s="133" t="n"/>
      <c r="E125" s="133" t="n"/>
      <c r="G125" s="138" t="inlineStr">
        <is>
          <t>Maya5 Rigging, Animation(리깅/애니메이선)</t>
        </is>
      </c>
      <c r="H125" s="325" t="n">
        <v>600000</v>
      </c>
    </row>
    <row r="126" customFormat="1" s="132">
      <c r="A126" s="133" t="n"/>
      <c r="B126" s="133" t="n"/>
      <c r="C126" s="133" t="n"/>
      <c r="D126" s="133" t="n"/>
      <c r="E126" s="133" t="n"/>
      <c r="G126" s="138" t="inlineStr">
        <is>
          <t>Maya6 Rigging, Animation(리깅/애니메이선)</t>
        </is>
      </c>
      <c r="H126" s="325" t="n">
        <v>600000</v>
      </c>
    </row>
    <row r="127" customFormat="1" s="132">
      <c r="A127" s="133" t="n"/>
      <c r="B127" s="133" t="n"/>
      <c r="C127" s="133" t="n"/>
      <c r="D127" s="133" t="n"/>
      <c r="E127" s="133" t="n"/>
      <c r="G127" s="138" t="inlineStr">
        <is>
          <t>C언어1</t>
        </is>
      </c>
      <c r="H127" s="325" t="n">
        <v>400000</v>
      </c>
    </row>
    <row r="128" customFormat="1" s="132">
      <c r="A128" s="133" t="n"/>
      <c r="B128" s="133" t="n"/>
      <c r="C128" s="133" t="n"/>
      <c r="D128" s="133" t="n"/>
      <c r="E128" s="133" t="n"/>
      <c r="G128" s="138" t="inlineStr">
        <is>
          <t>C언어2</t>
        </is>
      </c>
      <c r="H128" s="325" t="n">
        <v>400000</v>
      </c>
    </row>
    <row r="129" customFormat="1" s="132">
      <c r="A129" s="133" t="n"/>
      <c r="B129" s="133" t="n"/>
      <c r="C129" s="133" t="n"/>
      <c r="D129" s="133" t="n"/>
      <c r="E129" s="133" t="n"/>
      <c r="G129" s="138" t="inlineStr">
        <is>
          <t>C언어3</t>
        </is>
      </c>
      <c r="H129" s="325" t="n">
        <v>400000</v>
      </c>
    </row>
    <row r="130" customFormat="1" s="132">
      <c r="A130" s="133" t="n"/>
      <c r="B130" s="133" t="n"/>
      <c r="C130" s="133" t="n"/>
      <c r="D130" s="133" t="n"/>
      <c r="E130" s="133" t="n"/>
      <c r="G130" s="138" t="inlineStr">
        <is>
          <t>JAVA 1</t>
        </is>
      </c>
      <c r="H130" s="325" t="n">
        <v>400000</v>
      </c>
    </row>
    <row r="131" customFormat="1" s="132">
      <c r="A131" s="133" t="n"/>
      <c r="B131" s="133" t="n"/>
      <c r="C131" s="133" t="n"/>
      <c r="D131" s="133" t="n"/>
      <c r="E131" s="133" t="n"/>
      <c r="G131" s="138" t="inlineStr">
        <is>
          <t>JAVA 2</t>
        </is>
      </c>
      <c r="H131" s="325" t="n">
        <v>400000</v>
      </c>
    </row>
    <row r="132" customFormat="1" s="132">
      <c r="A132" s="133" t="n"/>
      <c r="B132" s="133" t="n"/>
      <c r="C132" s="133" t="n"/>
      <c r="D132" s="133" t="n"/>
      <c r="E132" s="133" t="n"/>
      <c r="G132" s="138" t="inlineStr">
        <is>
          <t>Python 1</t>
        </is>
      </c>
      <c r="H132" s="325" t="n">
        <v>400000</v>
      </c>
    </row>
    <row r="133" customFormat="1" s="132">
      <c r="A133" s="133" t="n"/>
      <c r="B133" s="133" t="n"/>
      <c r="C133" s="133" t="n"/>
      <c r="D133" s="133" t="n"/>
      <c r="E133" s="133" t="n"/>
      <c r="G133" s="138" t="inlineStr">
        <is>
          <t>Python 2</t>
        </is>
      </c>
      <c r="H133" s="325" t="n">
        <v>400000</v>
      </c>
    </row>
    <row r="134" customFormat="1" s="132">
      <c r="A134" s="133" t="n"/>
      <c r="B134" s="133" t="n"/>
      <c r="C134" s="133" t="n"/>
      <c r="D134" s="133" t="n"/>
      <c r="E134" s="133" t="n"/>
      <c r="G134" s="138" t="inlineStr">
        <is>
          <t>MOS Master</t>
        </is>
      </c>
      <c r="H134" s="325" t="n">
        <v>250000</v>
      </c>
    </row>
    <row r="135" customFormat="1" s="132">
      <c r="A135" s="133" t="n"/>
      <c r="B135" s="133" t="n"/>
      <c r="C135" s="133" t="n"/>
      <c r="D135" s="133" t="n"/>
      <c r="E135" s="133" t="n"/>
      <c r="G135" s="138" t="inlineStr">
        <is>
          <t>컴퓨터활용능력 1급</t>
        </is>
      </c>
      <c r="H135" s="325" t="n">
        <v>300000</v>
      </c>
    </row>
    <row r="136" customFormat="1" s="132">
      <c r="A136" s="133" t="n"/>
      <c r="B136" s="133" t="n"/>
      <c r="C136" s="133" t="n"/>
      <c r="D136" s="133" t="n"/>
      <c r="E136" s="133" t="n"/>
      <c r="G136" s="138" t="inlineStr">
        <is>
          <t>컴퓨터활용능력 2급</t>
        </is>
      </c>
      <c r="H136" s="325" t="n">
        <v>250000</v>
      </c>
    </row>
    <row r="137" customFormat="1" s="132">
      <c r="A137" s="133" t="n"/>
      <c r="B137" s="133" t="n"/>
      <c r="C137" s="133" t="n"/>
      <c r="D137" s="133" t="n"/>
      <c r="E137" s="133" t="n"/>
      <c r="G137" s="138" t="inlineStr">
        <is>
          <t>전산회계1급</t>
        </is>
      </c>
      <c r="H137" s="325" t="n">
        <v>400000</v>
      </c>
    </row>
    <row r="138" customFormat="1" s="132">
      <c r="A138" s="133" t="n"/>
      <c r="B138" s="133" t="n"/>
      <c r="C138" s="133" t="n"/>
      <c r="D138" s="133" t="n"/>
      <c r="E138" s="133" t="n"/>
      <c r="G138" s="138" t="inlineStr">
        <is>
          <t>전산세무2급</t>
        </is>
      </c>
      <c r="H138" s="325" t="n">
        <v>400000</v>
      </c>
    </row>
    <row r="139" customFormat="1" s="132">
      <c r="A139" s="133" t="n"/>
      <c r="B139" s="133" t="n"/>
      <c r="C139" s="133" t="n"/>
      <c r="D139" s="133" t="n"/>
      <c r="E139" s="133" t="n"/>
      <c r="G139" s="138" t="inlineStr">
        <is>
          <t>Rhino1(라이노 기초)</t>
        </is>
      </c>
      <c r="H139" s="325" t="n">
        <v>400000</v>
      </c>
    </row>
    <row r="140" customFormat="1" s="132">
      <c r="A140" s="133" t="n"/>
      <c r="B140" s="133" t="n"/>
      <c r="C140" s="133" t="n"/>
      <c r="D140" s="133" t="n"/>
      <c r="E140" s="133" t="n"/>
      <c r="G140" s="138" t="inlineStr">
        <is>
          <t>Rhino2(키샷 렌더)</t>
        </is>
      </c>
      <c r="H140" s="325" t="n">
        <v>400000</v>
      </c>
    </row>
    <row r="141" customFormat="1" s="132">
      <c r="A141" s="133" t="n"/>
      <c r="B141" s="133" t="n"/>
      <c r="C141" s="133" t="n"/>
      <c r="D141" s="133" t="n"/>
      <c r="E141" s="133" t="n"/>
      <c r="G141" s="138" t="inlineStr">
        <is>
          <t>Inventor/주말(기계 모델링)</t>
        </is>
      </c>
      <c r="H141" s="325" t="n">
        <v>400000</v>
      </c>
    </row>
    <row r="142" customFormat="1" s="132">
      <c r="A142" s="133" t="n"/>
      <c r="B142" s="133" t="n"/>
      <c r="C142" s="133" t="n"/>
      <c r="D142" s="133" t="n"/>
      <c r="E142" s="133" t="n"/>
      <c r="G142" s="138" t="inlineStr">
        <is>
          <t>전산응용기계제도 실기/주말</t>
        </is>
      </c>
      <c r="H142" s="325" t="n">
        <v>450000</v>
      </c>
    </row>
    <row r="143" customFormat="1" s="132">
      <c r="A143" s="133" t="n"/>
      <c r="B143" s="133" t="n"/>
      <c r="C143" s="133" t="n"/>
      <c r="D143" s="133" t="n"/>
      <c r="E143" s="133" t="n"/>
      <c r="G143" s="138" t="inlineStr">
        <is>
          <t>기계설계산업기사 실기/주말</t>
        </is>
      </c>
      <c r="H143" s="325" t="n">
        <v>450000</v>
      </c>
    </row>
    <row r="144" customFormat="1" s="132">
      <c r="A144" s="133" t="n"/>
      <c r="B144" s="133" t="n"/>
      <c r="C144" s="133" t="n"/>
      <c r="D144" s="133" t="n"/>
      <c r="E144" s="133" t="n"/>
      <c r="G144" s="138" t="inlineStr">
        <is>
          <t>기계설계기사 실기/주말</t>
        </is>
      </c>
      <c r="H144" s="325" t="n">
        <v>450000</v>
      </c>
    </row>
    <row r="145" customFormat="1" s="132">
      <c r="A145" s="133" t="n"/>
      <c r="B145" s="133" t="n"/>
      <c r="C145" s="133" t="n"/>
      <c r="D145" s="133" t="n"/>
      <c r="E145" s="133" t="n"/>
      <c r="G145" s="138" t="inlineStr">
        <is>
          <t>일반기계기사 실기/주말</t>
        </is>
      </c>
      <c r="H145" s="325" t="n">
        <v>450000</v>
      </c>
    </row>
    <row r="146" customFormat="1" s="132">
      <c r="A146" s="133" t="n"/>
      <c r="B146" s="133" t="n"/>
      <c r="C146" s="133" t="n"/>
      <c r="D146" s="133" t="n"/>
      <c r="E146" s="133" t="n"/>
      <c r="G146" s="138" t="inlineStr">
        <is>
          <t>(방학)MOS Master</t>
        </is>
      </c>
      <c r="H146" s="325" t="n">
        <v>250000</v>
      </c>
    </row>
    <row r="147" customFormat="1" s="132">
      <c r="A147" s="133" t="n"/>
      <c r="B147" s="133" t="n"/>
      <c r="C147" s="133" t="n"/>
      <c r="D147" s="133" t="n"/>
      <c r="E147" s="133" t="n"/>
      <c r="G147" s="138" t="inlineStr">
        <is>
          <t>(방학)컴퓨터활용능력 1급</t>
        </is>
      </c>
      <c r="H147" s="325" t="n">
        <v>300000</v>
      </c>
    </row>
    <row r="148" customFormat="1" s="132">
      <c r="A148" s="133" t="n"/>
      <c r="B148" s="133" t="n"/>
      <c r="C148" s="133" t="n"/>
      <c r="D148" s="133" t="n"/>
      <c r="E148" s="133" t="n"/>
      <c r="G148" s="138" t="inlineStr">
        <is>
          <t>(방학)컴퓨터활용능력 2급</t>
        </is>
      </c>
      <c r="H148" s="325" t="n">
        <v>250000</v>
      </c>
    </row>
    <row r="149" customFormat="1" s="132">
      <c r="A149" s="133" t="n"/>
      <c r="B149" s="133" t="n"/>
      <c r="C149" s="133" t="n"/>
      <c r="D149" s="133" t="n"/>
      <c r="E149" s="133" t="n"/>
      <c r="G149" s="137" t="inlineStr">
        <is>
          <t>(방학)Photoshop(포토샵 기초)</t>
        </is>
      </c>
      <c r="H149" s="325" t="n">
        <v>300000</v>
      </c>
    </row>
    <row r="150" customFormat="1" s="132">
      <c r="A150" s="133" t="n"/>
      <c r="B150" s="133" t="n"/>
      <c r="C150" s="133" t="n"/>
      <c r="D150" s="133" t="n"/>
      <c r="E150" s="133" t="n"/>
      <c r="G150" s="138" t="inlineStr">
        <is>
          <t>(방학)Illustrator(일러스트 기초)</t>
        </is>
      </c>
      <c r="H150" s="325" t="n">
        <v>300000</v>
      </c>
    </row>
    <row r="151" customFormat="1" s="132">
      <c r="A151" s="133" t="n"/>
      <c r="B151" s="133" t="n"/>
      <c r="C151" s="133" t="n"/>
      <c r="D151" s="133" t="n"/>
      <c r="E151" s="133" t="n"/>
      <c r="G151" s="138" t="inlineStr">
        <is>
          <t>(방학)PhotoWorks(포토샵 실무/응용/합성집중)</t>
        </is>
      </c>
      <c r="H151" s="325" t="n">
        <v>320000</v>
      </c>
    </row>
    <row r="152" customFormat="1" s="132">
      <c r="A152" s="133" t="n"/>
      <c r="B152" s="133" t="n"/>
      <c r="C152" s="133" t="n"/>
      <c r="D152" s="133" t="n"/>
      <c r="E152" s="133" t="n"/>
      <c r="G152" s="138" t="inlineStr">
        <is>
          <t>(방학)Detail Illustrator(일러스트 실무/응용/제작집중)</t>
        </is>
      </c>
      <c r="H152" s="325" t="n">
        <v>320000</v>
      </c>
    </row>
    <row r="153" customFormat="1" s="132">
      <c r="A153" s="133" t="n"/>
      <c r="B153" s="133" t="n"/>
      <c r="C153" s="133" t="n"/>
      <c r="D153" s="133" t="n"/>
      <c r="E153" s="133" t="n"/>
      <c r="G153" s="138" t="inlineStr">
        <is>
          <t>(방학)Indesign(인디자인)</t>
        </is>
      </c>
      <c r="H153" s="325" t="n">
        <v>300000</v>
      </c>
    </row>
    <row r="154" customFormat="1" s="132">
      <c r="A154" s="133" t="n"/>
      <c r="B154" s="133" t="n"/>
      <c r="C154" s="133" t="n"/>
      <c r="D154" s="133" t="n"/>
      <c r="E154" s="133" t="n"/>
      <c r="G154" s="138" t="inlineStr">
        <is>
          <t>(방학)CAD1(캐드 기초)</t>
        </is>
      </c>
      <c r="H154" s="325" t="n">
        <v>300000</v>
      </c>
    </row>
    <row r="155" customFormat="1" s="132">
      <c r="A155" s="133" t="n"/>
      <c r="B155" s="133" t="n"/>
      <c r="C155" s="133" t="n"/>
      <c r="D155" s="133" t="n"/>
      <c r="E155" s="133" t="n"/>
      <c r="G155" s="138" t="inlineStr">
        <is>
          <t>(방학)CAD2(도면제작/CAT)</t>
        </is>
      </c>
      <c r="H155" s="325" t="n">
        <v>300000</v>
      </c>
    </row>
    <row r="156" customFormat="1" s="132">
      <c r="A156" s="133" t="n"/>
      <c r="B156" s="133" t="n"/>
      <c r="C156" s="133" t="n"/>
      <c r="D156" s="133" t="n"/>
      <c r="E156" s="133" t="n"/>
      <c r="G156" s="135" t="inlineStr">
        <is>
          <t>(방학)SketchUp1(Modeling)</t>
        </is>
      </c>
      <c r="H156" s="325" t="n">
        <v>350000</v>
      </c>
    </row>
    <row r="157" customFormat="1" s="132">
      <c r="A157" s="133" t="n"/>
      <c r="B157" s="133" t="n"/>
      <c r="C157" s="133" t="n"/>
      <c r="D157" s="133" t="n"/>
      <c r="E157" s="133" t="n"/>
      <c r="G157" s="135" t="inlineStr">
        <is>
          <t>(방학)SketchUp2(Rendering&amp;V-ray)</t>
        </is>
      </c>
      <c r="H157" s="325" t="n">
        <v>350000</v>
      </c>
    </row>
    <row r="158" customFormat="1" s="132">
      <c r="A158" s="133" t="n"/>
      <c r="B158" s="133" t="n"/>
      <c r="C158" s="133" t="n"/>
      <c r="D158" s="133" t="n"/>
      <c r="E158" s="133" t="n"/>
      <c r="G158" s="138" t="inlineStr">
        <is>
          <t>(방학)3Ds Max 1(Modeling)</t>
        </is>
      </c>
      <c r="H158" s="325" t="n">
        <v>350000</v>
      </c>
    </row>
    <row r="159" customFormat="1" s="132">
      <c r="A159" s="133" t="n"/>
      <c r="B159" s="133" t="n"/>
      <c r="C159" s="133" t="n"/>
      <c r="D159" s="133" t="n"/>
      <c r="E159" s="133" t="n"/>
      <c r="G159" s="138" t="inlineStr">
        <is>
          <t>(방학)3Ds Max 2(Modeling+)</t>
        </is>
      </c>
      <c r="H159" s="325" t="n">
        <v>350000</v>
      </c>
    </row>
    <row r="160" customFormat="1" s="132">
      <c r="A160" s="133" t="n"/>
      <c r="B160" s="133" t="n"/>
      <c r="C160" s="133" t="n"/>
      <c r="D160" s="133" t="n"/>
      <c r="E160" s="133" t="n"/>
      <c r="G160" s="138" t="inlineStr">
        <is>
          <t>(방학)Rhino1(라이노 기초)</t>
        </is>
      </c>
      <c r="H160" s="325" t="n">
        <v>350000</v>
      </c>
    </row>
    <row r="161" customFormat="1" s="132">
      <c r="A161" s="133" t="n"/>
      <c r="B161" s="133" t="n"/>
      <c r="C161" s="133" t="n"/>
      <c r="D161" s="133" t="n"/>
      <c r="E161" s="133" t="n"/>
      <c r="G161" s="138" t="inlineStr">
        <is>
          <t>(방학)Rhino2(키샷 렌더)</t>
        </is>
      </c>
      <c r="H161" s="325" t="n">
        <v>350000</v>
      </c>
    </row>
    <row r="162" customFormat="1" s="132">
      <c r="A162" s="133" t="n"/>
      <c r="B162" s="133" t="n"/>
      <c r="C162" s="133" t="n"/>
      <c r="D162" s="133" t="n"/>
      <c r="E162" s="133" t="n"/>
      <c r="G162" s="138" t="inlineStr">
        <is>
          <t>(방학)Premiere Pro</t>
        </is>
      </c>
      <c r="H162" s="325" t="n">
        <v>300000</v>
      </c>
    </row>
    <row r="163" customFormat="1" s="132">
      <c r="A163" s="133" t="n"/>
      <c r="B163" s="133" t="n"/>
      <c r="C163" s="133" t="n"/>
      <c r="D163" s="133" t="n"/>
      <c r="E163" s="133" t="n"/>
      <c r="G163" s="137" t="inlineStr">
        <is>
          <t>(방학)After effect (에프터이펙트 기초)</t>
        </is>
      </c>
      <c r="H163" s="325" t="n">
        <v>350000</v>
      </c>
    </row>
    <row r="164" customFormat="1" s="132">
      <c r="A164" s="133" t="n"/>
      <c r="B164" s="133" t="n"/>
      <c r="C164" s="133" t="n"/>
      <c r="D164" s="133" t="n"/>
      <c r="E164" s="133" t="n"/>
      <c r="G164" s="138" t="inlineStr">
        <is>
          <t>(방학)Motion After effect (에프터이펙트 실무)</t>
        </is>
      </c>
      <c r="H164" s="325" t="n">
        <v>350000</v>
      </c>
    </row>
    <row r="165" customFormat="1" s="132">
      <c r="A165" s="133" t="n"/>
      <c r="B165" s="133" t="n"/>
      <c r="C165" s="133" t="n"/>
      <c r="D165" s="133" t="n"/>
      <c r="E165" s="133" t="n"/>
      <c r="G165" s="138" t="inlineStr">
        <is>
          <t>(방학)Cinema4D 1 Modeling(모델링)</t>
        </is>
      </c>
      <c r="H165" s="325" t="n">
        <v>450000</v>
      </c>
    </row>
    <row r="166" customFormat="1" s="132">
      <c r="A166" s="133" t="n"/>
      <c r="B166" s="133" t="n"/>
      <c r="C166" s="133" t="n"/>
      <c r="D166" s="133" t="n"/>
      <c r="E166" s="133" t="n"/>
      <c r="G166" s="138" t="inlineStr">
        <is>
          <t>(방학)Cinema4D 2 Modeling(모델링)</t>
        </is>
      </c>
      <c r="H166" s="325" t="n">
        <v>450000</v>
      </c>
    </row>
    <row r="167" customFormat="1" s="132">
      <c r="A167" s="133" t="n"/>
      <c r="B167" s="133" t="n"/>
      <c r="C167" s="133" t="n"/>
      <c r="D167" s="133" t="n"/>
      <c r="E167" s="133" t="n"/>
      <c r="G167" s="138" t="inlineStr">
        <is>
          <t>(방학)C언어1</t>
        </is>
      </c>
      <c r="H167" s="325" t="n">
        <v>400000</v>
      </c>
    </row>
    <row r="168" customFormat="1" s="132">
      <c r="A168" s="133" t="n"/>
      <c r="B168" s="133" t="n"/>
      <c r="C168" s="133" t="n"/>
      <c r="D168" s="133" t="n"/>
      <c r="E168" s="133" t="n"/>
      <c r="G168" s="138" t="inlineStr">
        <is>
          <t>(방학)C언어2</t>
        </is>
      </c>
      <c r="H168" s="325" t="n">
        <v>400000</v>
      </c>
    </row>
    <row r="169" customFormat="1" s="132">
      <c r="A169" s="133" t="n"/>
      <c r="B169" s="133" t="n"/>
      <c r="C169" s="133" t="n"/>
      <c r="D169" s="133" t="n"/>
      <c r="E169" s="133" t="n"/>
      <c r="G169" s="138" t="inlineStr">
        <is>
          <t>(방학)JAVA 1</t>
        </is>
      </c>
      <c r="H169" s="325" t="n">
        <v>400000</v>
      </c>
    </row>
    <row r="170" customFormat="1" s="132">
      <c r="A170" s="133" t="n"/>
      <c r="B170" s="133" t="n"/>
      <c r="C170" s="133" t="n"/>
      <c r="D170" s="133" t="n"/>
      <c r="E170" s="133" t="n"/>
      <c r="G170" s="138" t="inlineStr">
        <is>
          <t>(방학)AVA 2</t>
        </is>
      </c>
      <c r="H170" s="325" t="n">
        <v>400000</v>
      </c>
    </row>
    <row r="171" customFormat="1" s="132">
      <c r="A171" s="133" t="n"/>
      <c r="B171" s="133" t="n"/>
      <c r="C171" s="133" t="n"/>
      <c r="D171" s="133" t="n"/>
      <c r="E171" s="133" t="n"/>
      <c r="G171" s="138" t="inlineStr">
        <is>
          <t>(방학)Python 1</t>
        </is>
      </c>
      <c r="H171" s="325" t="n">
        <v>400000</v>
      </c>
    </row>
    <row r="172" customFormat="1" s="132">
      <c r="A172" s="133" t="n"/>
      <c r="B172" s="133" t="n"/>
      <c r="C172" s="133" t="n"/>
      <c r="D172" s="133" t="n"/>
      <c r="E172" s="133" t="n"/>
      <c r="G172" s="138" t="inlineStr">
        <is>
          <t>(방학)Python 2</t>
        </is>
      </c>
      <c r="H172" s="325" t="n">
        <v>400000</v>
      </c>
    </row>
    <row r="173" customFormat="1" s="132">
      <c r="A173" s="133" t="n"/>
      <c r="B173" s="133" t="n"/>
      <c r="C173" s="133" t="n"/>
      <c r="D173" s="133" t="n"/>
      <c r="E173" s="133" t="n"/>
    </row>
    <row r="174" customFormat="1" s="132">
      <c r="A174" s="133" t="n"/>
      <c r="B174" s="133" t="n"/>
      <c r="C174" s="133" t="n"/>
      <c r="D174" s="133" t="n"/>
      <c r="E174" s="133" t="n"/>
    </row>
    <row r="175" customFormat="1" s="132">
      <c r="A175" s="133" t="n"/>
      <c r="B175" s="133" t="n"/>
      <c r="C175" s="133" t="n"/>
      <c r="D175" s="133" t="n"/>
      <c r="E175" s="133" t="n"/>
    </row>
    <row r="176" customFormat="1" s="132">
      <c r="A176" s="133" t="n"/>
      <c r="B176" s="133" t="n"/>
      <c r="C176" s="133" t="n"/>
      <c r="D176" s="133" t="n"/>
      <c r="E176" s="133" t="n"/>
    </row>
    <row r="177" customFormat="1" s="132">
      <c r="A177" s="133" t="n"/>
      <c r="B177" s="133" t="n"/>
      <c r="C177" s="133" t="n"/>
      <c r="D177" s="133" t="n"/>
      <c r="E177" s="133" t="n"/>
    </row>
    <row r="178" customFormat="1" s="132">
      <c r="A178" s="133" t="n"/>
      <c r="B178" s="133" t="n"/>
      <c r="C178" s="133" t="n"/>
      <c r="D178" s="133" t="n"/>
      <c r="E178" s="133" t="n"/>
    </row>
    <row r="179" customFormat="1" s="132">
      <c r="A179" s="133" t="n"/>
      <c r="B179" s="133" t="n"/>
      <c r="C179" s="133" t="n"/>
      <c r="D179" s="133" t="n"/>
      <c r="E179" s="133" t="n"/>
    </row>
    <row r="180" customFormat="1" s="132">
      <c r="A180" s="133" t="n"/>
      <c r="B180" s="133" t="n"/>
      <c r="C180" s="133" t="n"/>
      <c r="D180" s="133" t="n"/>
      <c r="E180" s="133" t="n"/>
    </row>
    <row r="181" customFormat="1" s="132">
      <c r="A181" s="133" t="n"/>
      <c r="B181" s="133" t="n"/>
      <c r="C181" s="133" t="n"/>
      <c r="D181" s="133" t="n"/>
      <c r="E181" s="133" t="n"/>
    </row>
    <row r="182" customFormat="1" s="132">
      <c r="A182" s="133" t="n"/>
      <c r="B182" s="133" t="n"/>
      <c r="C182" s="133" t="n"/>
      <c r="D182" s="133" t="n"/>
      <c r="E182" s="133" t="n"/>
    </row>
    <row r="183" customFormat="1" s="132">
      <c r="A183" s="133" t="n"/>
      <c r="B183" s="133" t="n"/>
      <c r="C183" s="133" t="n"/>
      <c r="D183" s="133" t="n"/>
      <c r="E183" s="133" t="n"/>
    </row>
    <row r="184" customFormat="1" s="132">
      <c r="A184" s="133" t="n"/>
      <c r="B184" s="133" t="n"/>
      <c r="C184" s="133" t="n"/>
      <c r="D184" s="133" t="n"/>
      <c r="E184" s="133" t="n"/>
    </row>
    <row r="185" customFormat="1" s="132">
      <c r="A185" s="133" t="n"/>
      <c r="B185" s="133" t="n"/>
      <c r="C185" s="133" t="n"/>
      <c r="D185" s="133" t="n"/>
      <c r="E185" s="133" t="n"/>
    </row>
    <row r="186" customFormat="1" s="132">
      <c r="A186" s="133" t="n"/>
      <c r="B186" s="133" t="n"/>
      <c r="C186" s="133" t="n"/>
      <c r="D186" s="133" t="n"/>
      <c r="E186" s="133" t="n"/>
    </row>
    <row r="187" customFormat="1" s="132">
      <c r="A187" s="133" t="n"/>
      <c r="B187" s="133" t="n"/>
      <c r="C187" s="133" t="n"/>
      <c r="D187" s="133" t="n"/>
      <c r="E187" s="133" t="n"/>
    </row>
    <row r="188" customFormat="1" s="132">
      <c r="A188" s="133" t="n"/>
      <c r="B188" s="133" t="n"/>
      <c r="C188" s="133" t="n"/>
      <c r="D188" s="133" t="n"/>
      <c r="E188" s="133" t="n"/>
    </row>
    <row r="189" customFormat="1" s="132">
      <c r="A189" s="133" t="n"/>
      <c r="B189" s="133" t="n"/>
      <c r="C189" s="133" t="n"/>
      <c r="D189" s="133" t="n"/>
      <c r="E189" s="133" t="n"/>
    </row>
    <row r="190" customFormat="1" s="132">
      <c r="A190" s="133" t="n"/>
      <c r="B190" s="133" t="n"/>
      <c r="C190" s="133" t="n"/>
      <c r="D190" s="133" t="n"/>
      <c r="E190" s="133" t="n"/>
    </row>
    <row r="191" customFormat="1" s="132">
      <c r="A191" s="133" t="n"/>
      <c r="B191" s="133" t="n"/>
      <c r="C191" s="133" t="n"/>
      <c r="D191" s="133" t="n"/>
      <c r="E191" s="133" t="n"/>
    </row>
    <row r="192" customFormat="1" s="132">
      <c r="A192" s="133" t="n"/>
      <c r="B192" s="133" t="n"/>
      <c r="C192" s="133" t="n"/>
      <c r="D192" s="133" t="n"/>
      <c r="E192" s="133" t="n"/>
    </row>
    <row r="193" customFormat="1" s="132">
      <c r="A193" s="133" t="n"/>
      <c r="B193" s="133" t="n"/>
      <c r="C193" s="133" t="n"/>
      <c r="D193" s="133" t="n"/>
      <c r="E193" s="133" t="n"/>
    </row>
    <row r="194" customFormat="1" s="132">
      <c r="A194" s="133" t="n"/>
      <c r="B194" s="133" t="n"/>
      <c r="C194" s="133" t="n"/>
      <c r="D194" s="133" t="n"/>
      <c r="E194" s="133" t="n"/>
    </row>
    <row r="195" customFormat="1" s="132">
      <c r="A195" s="133" t="n"/>
      <c r="B195" s="133" t="n"/>
      <c r="C195" s="133" t="n"/>
      <c r="D195" s="133" t="n"/>
      <c r="E195" s="133" t="n"/>
    </row>
    <row r="196" customFormat="1" s="132">
      <c r="A196" s="133" t="n"/>
      <c r="B196" s="133" t="n"/>
      <c r="C196" s="133" t="n"/>
      <c r="D196" s="133" t="n"/>
      <c r="E196" s="133" t="n"/>
    </row>
    <row r="197" customFormat="1" s="132">
      <c r="A197" s="133" t="n"/>
      <c r="B197" s="133" t="n"/>
      <c r="C197" s="133" t="n"/>
      <c r="D197" s="133" t="n"/>
      <c r="E197" s="133" t="n"/>
    </row>
    <row r="198" customFormat="1" s="132">
      <c r="A198" s="133" t="n"/>
      <c r="B198" s="133" t="n"/>
      <c r="C198" s="133" t="n"/>
      <c r="D198" s="133" t="n"/>
      <c r="E198" s="133" t="n"/>
    </row>
    <row r="199" customFormat="1" s="132">
      <c r="A199" s="133" t="n"/>
      <c r="B199" s="133" t="n"/>
      <c r="C199" s="133" t="n"/>
      <c r="D199" s="133" t="n"/>
      <c r="E199" s="133" t="n"/>
    </row>
    <row r="200" customFormat="1" s="132">
      <c r="A200" s="133" t="n"/>
      <c r="B200" s="133" t="n"/>
      <c r="C200" s="133" t="n"/>
      <c r="D200" s="133" t="n"/>
      <c r="E200" s="133" t="n"/>
    </row>
    <row r="201" customFormat="1" s="132">
      <c r="A201" s="133" t="n"/>
      <c r="B201" s="133" t="n"/>
      <c r="C201" s="133" t="n"/>
      <c r="D201" s="133" t="n"/>
      <c r="E201" s="133" t="n"/>
    </row>
    <row r="202" customFormat="1" s="132">
      <c r="A202" s="133" t="n"/>
      <c r="B202" s="133" t="n"/>
      <c r="C202" s="133" t="n"/>
      <c r="D202" s="133" t="n"/>
      <c r="E202" s="133" t="n"/>
    </row>
    <row r="203" customFormat="1" s="132">
      <c r="A203" s="133" t="n"/>
      <c r="B203" s="133" t="n"/>
      <c r="C203" s="133" t="n"/>
      <c r="D203" s="133" t="n"/>
      <c r="E203" s="133" t="n"/>
    </row>
    <row r="204" customFormat="1" s="132">
      <c r="A204" s="133" t="n"/>
      <c r="B204" s="133" t="n"/>
      <c r="C204" s="133" t="n"/>
      <c r="D204" s="133" t="n"/>
      <c r="E204" s="133" t="n"/>
    </row>
    <row r="205" customFormat="1" s="132">
      <c r="A205" s="133" t="n"/>
      <c r="B205" s="133" t="n"/>
      <c r="C205" s="133" t="n"/>
      <c r="D205" s="133" t="n"/>
      <c r="E205" s="133" t="n"/>
    </row>
    <row r="206" customFormat="1" s="132">
      <c r="A206" s="133" t="n"/>
      <c r="B206" s="133" t="n"/>
      <c r="C206" s="133" t="n"/>
      <c r="D206" s="133" t="n"/>
      <c r="E206" s="133" t="n"/>
    </row>
    <row r="207" customFormat="1" s="132">
      <c r="A207" s="133" t="n"/>
      <c r="B207" s="133" t="n"/>
      <c r="C207" s="133" t="n"/>
      <c r="D207" s="133" t="n"/>
      <c r="E207" s="133" t="n"/>
    </row>
    <row r="208" customFormat="1" s="132">
      <c r="A208" s="133" t="n"/>
      <c r="B208" s="133" t="n"/>
      <c r="C208" s="133" t="n"/>
      <c r="D208" s="133" t="n"/>
      <c r="E208" s="133" t="n"/>
    </row>
    <row r="209" customFormat="1" s="132">
      <c r="A209" s="133" t="n"/>
      <c r="B209" s="133" t="n"/>
      <c r="C209" s="133" t="n"/>
      <c r="D209" s="133" t="n"/>
      <c r="E209" s="133" t="n"/>
    </row>
    <row r="210" customFormat="1" s="132">
      <c r="A210" s="133" t="n"/>
      <c r="B210" s="133" t="n"/>
      <c r="C210" s="133" t="n"/>
      <c r="D210" s="133" t="n"/>
      <c r="E210" s="133" t="n"/>
    </row>
    <row r="211" customFormat="1" s="132">
      <c r="A211" s="133" t="n"/>
      <c r="B211" s="133" t="n"/>
      <c r="C211" s="133" t="n"/>
      <c r="D211" s="133" t="n"/>
      <c r="E211" s="133" t="n"/>
    </row>
    <row r="212" customFormat="1" s="132">
      <c r="A212" s="133" t="n"/>
      <c r="B212" s="133" t="n"/>
      <c r="C212" s="133" t="n"/>
      <c r="D212" s="133" t="n"/>
      <c r="E212" s="133" t="n"/>
    </row>
    <row r="213" customFormat="1" s="132">
      <c r="A213" s="133" t="n"/>
      <c r="B213" s="133" t="n"/>
      <c r="C213" s="133" t="n"/>
      <c r="D213" s="133" t="n"/>
      <c r="E213" s="133" t="n"/>
    </row>
    <row r="214" customFormat="1" s="132">
      <c r="A214" s="133" t="n"/>
      <c r="B214" s="133" t="n"/>
      <c r="C214" s="133" t="n"/>
      <c r="D214" s="133" t="n"/>
      <c r="E214" s="133" t="n"/>
    </row>
    <row r="215" customFormat="1" s="132">
      <c r="A215" s="133" t="n"/>
      <c r="B215" s="133" t="n"/>
      <c r="C215" s="133" t="n"/>
      <c r="D215" s="133" t="n"/>
      <c r="E215" s="133" t="n"/>
    </row>
    <row r="216" customFormat="1" s="132">
      <c r="A216" s="133" t="n"/>
      <c r="B216" s="133" t="n"/>
      <c r="C216" s="133" t="n"/>
      <c r="D216" s="133" t="n"/>
      <c r="E216" s="133" t="n"/>
    </row>
    <row r="217" customFormat="1" s="132">
      <c r="A217" s="133" t="n"/>
      <c r="B217" s="133" t="n"/>
      <c r="C217" s="133" t="n"/>
      <c r="D217" s="133" t="n"/>
      <c r="E217" s="133" t="n"/>
    </row>
    <row r="218" customFormat="1" s="132">
      <c r="A218" s="133" t="n"/>
      <c r="B218" s="133" t="n"/>
      <c r="C218" s="133" t="n"/>
      <c r="D218" s="133" t="n"/>
      <c r="E218" s="133" t="n"/>
    </row>
    <row r="219" customFormat="1" s="132">
      <c r="A219" s="133" t="n"/>
      <c r="B219" s="133" t="n"/>
      <c r="C219" s="133" t="n"/>
      <c r="D219" s="133" t="n"/>
      <c r="E219" s="133" t="n"/>
    </row>
    <row r="220" customFormat="1" s="132">
      <c r="A220" s="133" t="n"/>
      <c r="B220" s="133" t="n"/>
      <c r="C220" s="133" t="n"/>
      <c r="D220" s="133" t="n"/>
      <c r="E220" s="133" t="n"/>
    </row>
    <row r="221" customFormat="1" s="132">
      <c r="A221" s="133" t="n"/>
      <c r="B221" s="133" t="n"/>
      <c r="C221" s="133" t="n"/>
      <c r="D221" s="133" t="n"/>
      <c r="E221" s="133" t="n"/>
    </row>
    <row r="222" customFormat="1" s="132">
      <c r="A222" s="133" t="n"/>
      <c r="B222" s="133" t="n"/>
      <c r="C222" s="133" t="n"/>
      <c r="D222" s="133" t="n"/>
      <c r="E222" s="133" t="n"/>
    </row>
    <row r="223" customFormat="1" s="132">
      <c r="A223" s="133" t="n"/>
      <c r="B223" s="133" t="n"/>
      <c r="C223" s="133" t="n"/>
      <c r="D223" s="133" t="n"/>
      <c r="E223" s="133" t="n"/>
    </row>
    <row r="224" customFormat="1" s="132">
      <c r="A224" s="133" t="n"/>
      <c r="B224" s="133" t="n"/>
      <c r="C224" s="133" t="n"/>
      <c r="D224" s="133" t="n"/>
      <c r="E224" s="133" t="n"/>
    </row>
    <row r="225" customFormat="1" s="132">
      <c r="A225" s="133" t="n"/>
      <c r="B225" s="133" t="n"/>
      <c r="C225" s="133" t="n"/>
      <c r="D225" s="133" t="n"/>
      <c r="E225" s="133" t="n"/>
    </row>
    <row r="226" customFormat="1" s="132">
      <c r="A226" s="133" t="n"/>
      <c r="B226" s="133" t="n"/>
      <c r="C226" s="133" t="n"/>
      <c r="D226" s="133" t="n"/>
      <c r="E226" s="133" t="n"/>
    </row>
    <row r="227" customFormat="1" s="132">
      <c r="A227" s="133" t="n"/>
      <c r="B227" s="133" t="n"/>
      <c r="C227" s="133" t="n"/>
      <c r="D227" s="133" t="n"/>
      <c r="E227" s="133" t="n"/>
    </row>
    <row r="228" customFormat="1" s="132">
      <c r="A228" s="133" t="n"/>
      <c r="B228" s="133" t="n"/>
      <c r="C228" s="133" t="n"/>
      <c r="D228" s="133" t="n"/>
      <c r="E228" s="133" t="n"/>
    </row>
    <row r="229" customFormat="1" s="132">
      <c r="A229" s="133" t="n"/>
      <c r="B229" s="133" t="n"/>
      <c r="C229" s="133" t="n"/>
      <c r="D229" s="133" t="n"/>
      <c r="E229" s="133" t="n"/>
    </row>
    <row r="230" customFormat="1" s="132">
      <c r="A230" s="133" t="n"/>
      <c r="B230" s="133" t="n"/>
      <c r="C230" s="133" t="n"/>
      <c r="D230" s="133" t="n"/>
      <c r="E230" s="133" t="n"/>
    </row>
    <row r="231" customFormat="1" s="132">
      <c r="A231" s="133" t="n"/>
      <c r="B231" s="133" t="n"/>
      <c r="C231" s="133" t="n"/>
      <c r="D231" s="133" t="n"/>
      <c r="E231" s="133" t="n"/>
    </row>
    <row r="232" customFormat="1" s="132">
      <c r="A232" s="133" t="n"/>
      <c r="B232" s="133" t="n"/>
      <c r="C232" s="133" t="n"/>
      <c r="D232" s="133" t="n"/>
      <c r="E232" s="133" t="n"/>
    </row>
    <row r="233" customFormat="1" s="132">
      <c r="A233" s="133" t="n"/>
      <c r="B233" s="133" t="n"/>
      <c r="C233" s="133" t="n"/>
      <c r="D233" s="133" t="n"/>
      <c r="E233" s="133" t="n"/>
    </row>
    <row r="234" customFormat="1" s="132">
      <c r="A234" s="133" t="n"/>
      <c r="B234" s="133" t="n"/>
      <c r="C234" s="133" t="n"/>
      <c r="D234" s="133" t="n"/>
      <c r="E234" s="133" t="n"/>
    </row>
    <row r="235" customFormat="1" s="132">
      <c r="A235" s="133" t="n"/>
      <c r="B235" s="133" t="n"/>
      <c r="C235" s="133" t="n"/>
      <c r="D235" s="133" t="n"/>
      <c r="E235" s="133" t="n"/>
    </row>
    <row r="236" customFormat="1" s="132">
      <c r="A236" s="133" t="n"/>
      <c r="B236" s="133" t="n"/>
      <c r="C236" s="133" t="n"/>
      <c r="D236" s="133" t="n"/>
      <c r="E236" s="133" t="n"/>
    </row>
    <row r="237" customFormat="1" s="132">
      <c r="A237" s="133" t="n"/>
      <c r="B237" s="133" t="n"/>
      <c r="C237" s="133" t="n"/>
      <c r="D237" s="133" t="n"/>
      <c r="E237" s="133" t="n"/>
    </row>
    <row r="238" customFormat="1" s="132">
      <c r="A238" s="133" t="n"/>
      <c r="B238" s="133" t="n"/>
      <c r="C238" s="133" t="n"/>
      <c r="D238" s="133" t="n"/>
      <c r="E238" s="133" t="n"/>
    </row>
    <row r="239" customFormat="1" s="132">
      <c r="A239" s="133" t="n"/>
      <c r="B239" s="133" t="n"/>
      <c r="C239" s="133" t="n"/>
      <c r="D239" s="133" t="n"/>
      <c r="E239" s="133" t="n"/>
    </row>
    <row r="240" customFormat="1" s="132">
      <c r="A240" s="133" t="n"/>
      <c r="B240" s="133" t="n"/>
      <c r="C240" s="133" t="n"/>
      <c r="D240" s="133" t="n"/>
      <c r="E240" s="133" t="n"/>
    </row>
    <row r="241" customFormat="1" s="132">
      <c r="A241" s="133" t="n"/>
      <c r="B241" s="133" t="n"/>
      <c r="C241" s="133" t="n"/>
      <c r="D241" s="133" t="n"/>
      <c r="E241" s="133" t="n"/>
    </row>
    <row r="242" customFormat="1" s="132">
      <c r="A242" s="133" t="n"/>
      <c r="B242" s="133" t="n"/>
      <c r="C242" s="133" t="n"/>
      <c r="D242" s="133" t="n"/>
      <c r="E242" s="133" t="n"/>
    </row>
    <row r="243" customFormat="1" s="132">
      <c r="A243" s="133" t="n"/>
      <c r="B243" s="133" t="n"/>
      <c r="C243" s="133" t="n"/>
      <c r="D243" s="133" t="n"/>
      <c r="E243" s="133" t="n"/>
    </row>
    <row r="244" customFormat="1" s="132">
      <c r="A244" s="133" t="n"/>
      <c r="B244" s="133" t="n"/>
      <c r="C244" s="133" t="n"/>
      <c r="D244" s="133" t="n"/>
      <c r="E244" s="133" t="n"/>
    </row>
    <row r="245" customFormat="1" s="132">
      <c r="A245" s="133" t="n"/>
      <c r="B245" s="133" t="n"/>
      <c r="C245" s="133" t="n"/>
      <c r="D245" s="133" t="n"/>
      <c r="E245" s="133" t="n"/>
    </row>
    <row r="246" customFormat="1" s="132">
      <c r="A246" s="133" t="n"/>
      <c r="B246" s="133" t="n"/>
      <c r="C246" s="133" t="n"/>
      <c r="D246" s="133" t="n"/>
      <c r="E246" s="133" t="n"/>
    </row>
  </sheetData>
  <mergeCells count="38">
    <mergeCell ref="G17:G18"/>
    <mergeCell ref="C41:E41"/>
    <mergeCell ref="J9:J10"/>
    <mergeCell ref="C40:E40"/>
    <mergeCell ref="C45:D45"/>
    <mergeCell ref="A36:B36"/>
    <mergeCell ref="A1:E3"/>
    <mergeCell ref="A31:D31"/>
    <mergeCell ref="A12:A24"/>
    <mergeCell ref="A41:B41"/>
    <mergeCell ref="H17:H18"/>
    <mergeCell ref="A25:A30"/>
    <mergeCell ref="A37:B37"/>
    <mergeCell ref="G6:G7"/>
    <mergeCell ref="I17:I18"/>
    <mergeCell ref="C44:D44"/>
    <mergeCell ref="J26:J27"/>
    <mergeCell ref="C43:D43"/>
    <mergeCell ref="C60:D60"/>
    <mergeCell ref="A42:B42"/>
    <mergeCell ref="G1:G2"/>
    <mergeCell ref="I1:I2"/>
    <mergeCell ref="A7:A11"/>
    <mergeCell ref="G32:G33"/>
    <mergeCell ref="A35:B35"/>
    <mergeCell ref="C42:E42"/>
    <mergeCell ref="B6:C6"/>
    <mergeCell ref="A38:B38"/>
    <mergeCell ref="C33:E33"/>
    <mergeCell ref="C5:E5"/>
    <mergeCell ref="J17:J18"/>
    <mergeCell ref="A43:B43"/>
    <mergeCell ref="C4:E4"/>
    <mergeCell ref="A40:B40"/>
    <mergeCell ref="H1:H2"/>
    <mergeCell ref="J1:J2"/>
    <mergeCell ref="A39:B39"/>
    <mergeCell ref="A34:B34"/>
  </mergeCells>
  <dataValidations disablePrompts="1" count="1">
    <dataValidation sqref="A41:B41" showDropDown="0" showInputMessage="1" showErrorMessage="1" allowBlank="1" type="list">
      <formula1>$G$54:$M$54</formula1>
    </dataValidation>
  </dataValidations>
  <pageMargins left="0.7" right="0.7" top="0.75" bottom="0.75" header="0.3" footer="0.3"/>
  <pageSetup orientation="portrait" paperSize="9" scale="7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F39"/>
  <sheetViews>
    <sheetView topLeftCell="K1" zoomScaleNormal="100" workbookViewId="0">
      <selection activeCell="AB6" sqref="AB6:AB23"/>
    </sheetView>
  </sheetViews>
  <sheetFormatPr baseColWidth="8" defaultRowHeight="13.5"/>
  <cols>
    <col width="1" customWidth="1" style="25" min="1" max="1"/>
    <col width="9" customWidth="1" style="25" min="2" max="3"/>
    <col width="14.875" customWidth="1" style="25" min="4" max="4"/>
    <col width="9" customWidth="1" style="25" min="5" max="11"/>
    <col width="16.875" customWidth="1" style="25" min="12" max="12"/>
    <col width="9" customWidth="1" style="25" min="13" max="19"/>
    <col width="18.125" customWidth="1" style="25" min="20" max="20"/>
    <col width="9" customWidth="1" style="25" min="21" max="27"/>
    <col width="20.875" customWidth="1" style="25" min="28" max="28"/>
    <col width="9" customWidth="1" style="25" min="29" max="16384"/>
  </cols>
  <sheetData>
    <row r="1" ht="6" customHeight="1" s="277" thickBot="1"/>
    <row r="2">
      <c r="B2" s="326" t="inlineStr">
        <is>
          <t>컴퓨터 대전지점 수강료 교육청 신고 기준</t>
        </is>
      </c>
      <c r="C2" s="279" t="n"/>
      <c r="D2" s="279" t="n"/>
      <c r="E2" s="279" t="n"/>
      <c r="F2" s="279" t="n"/>
      <c r="G2" s="279" t="n"/>
      <c r="H2" s="279" t="n"/>
      <c r="I2" s="279" t="n"/>
      <c r="J2" s="279" t="n"/>
      <c r="K2" s="279" t="n"/>
      <c r="L2" s="279" t="n"/>
      <c r="M2" s="279" t="n"/>
      <c r="N2" s="279" t="n"/>
      <c r="O2" s="279" t="n"/>
      <c r="P2" s="279" t="n"/>
      <c r="Q2" s="279" t="n"/>
      <c r="R2" s="279" t="n"/>
      <c r="S2" s="279" t="n"/>
      <c r="T2" s="279" t="n"/>
      <c r="U2" s="279" t="n"/>
      <c r="V2" s="279" t="n"/>
      <c r="W2" s="279" t="n"/>
      <c r="X2" s="279" t="n"/>
      <c r="Y2" s="279" t="n"/>
      <c r="Z2" s="279" t="n"/>
      <c r="AA2" s="279" t="n"/>
      <c r="AB2" s="279" t="n"/>
      <c r="AC2" s="279" t="n"/>
      <c r="AD2" s="279" t="n"/>
      <c r="AE2" s="279" t="n"/>
      <c r="AF2" s="280" t="n"/>
    </row>
    <row r="3" ht="14.25" customHeight="1" s="277" thickBot="1">
      <c r="B3" s="284" t="n"/>
      <c r="C3" s="285" t="n"/>
      <c r="D3" s="285" t="n"/>
      <c r="E3" s="285" t="n"/>
      <c r="F3" s="285" t="n"/>
      <c r="G3" s="285" t="n"/>
      <c r="H3" s="285" t="n"/>
      <c r="I3" s="285" t="n"/>
      <c r="J3" s="285" t="n"/>
      <c r="K3" s="285" t="n"/>
      <c r="L3" s="285" t="n"/>
      <c r="M3" s="285" t="n"/>
      <c r="N3" s="285" t="n"/>
      <c r="O3" s="285" t="n"/>
      <c r="P3" s="285" t="n"/>
      <c r="Q3" s="285" t="n"/>
      <c r="R3" s="285" t="n"/>
      <c r="S3" s="285" t="n"/>
      <c r="T3" s="285" t="n"/>
      <c r="U3" s="285" t="n"/>
      <c r="V3" s="285" t="n"/>
      <c r="W3" s="285" t="n"/>
      <c r="X3" s="285" t="n"/>
      <c r="Y3" s="285" t="n"/>
      <c r="Z3" s="285" t="n"/>
      <c r="AA3" s="285" t="n"/>
      <c r="AB3" s="285" t="n"/>
      <c r="AC3" s="285" t="n"/>
      <c r="AD3" s="285" t="n"/>
      <c r="AE3" s="285" t="n"/>
      <c r="AF3" s="286" t="n"/>
    </row>
    <row r="4">
      <c r="B4" s="275" t="inlineStr">
        <is>
          <t>구분</t>
        </is>
      </c>
      <c r="C4" s="263" t="inlineStr">
        <is>
          <t>학과</t>
        </is>
      </c>
      <c r="D4" s="263" t="inlineStr">
        <is>
          <t>학원과정명</t>
        </is>
      </c>
      <c r="E4" s="327" t="inlineStr">
        <is>
          <t>일반수강료</t>
        </is>
      </c>
      <c r="F4" s="328" t="inlineStr">
        <is>
          <t>일수</t>
        </is>
      </c>
      <c r="G4" s="328" t="inlineStr">
        <is>
          <t>일시간</t>
        </is>
      </c>
      <c r="H4" s="329" t="inlineStr">
        <is>
          <t>총시간</t>
        </is>
      </c>
      <c r="I4" s="38" t="n"/>
      <c r="J4" s="275" t="inlineStr">
        <is>
          <t>구분</t>
        </is>
      </c>
      <c r="K4" s="263" t="inlineStr">
        <is>
          <t>학과</t>
        </is>
      </c>
      <c r="L4" s="263" t="inlineStr">
        <is>
          <t>학원과정명</t>
        </is>
      </c>
      <c r="M4" s="327" t="inlineStr">
        <is>
          <t>일반수강료</t>
        </is>
      </c>
      <c r="N4" s="328" t="inlineStr">
        <is>
          <t>일수</t>
        </is>
      </c>
      <c r="O4" s="328" t="inlineStr">
        <is>
          <t>일시간</t>
        </is>
      </c>
      <c r="P4" s="329" t="inlineStr">
        <is>
          <t>총시간</t>
        </is>
      </c>
      <c r="Q4" s="38" t="n"/>
      <c r="R4" s="330" t="inlineStr">
        <is>
          <t>구분</t>
        </is>
      </c>
      <c r="S4" s="331" t="inlineStr">
        <is>
          <t>학과</t>
        </is>
      </c>
      <c r="T4" s="331" t="inlineStr">
        <is>
          <t>학원과정명</t>
        </is>
      </c>
      <c r="U4" s="332" t="inlineStr">
        <is>
          <t>일반수강료</t>
        </is>
      </c>
      <c r="V4" s="332" t="inlineStr">
        <is>
          <t>일수</t>
        </is>
      </c>
      <c r="W4" s="332" t="inlineStr">
        <is>
          <t>일시간</t>
        </is>
      </c>
      <c r="X4" s="333" t="inlineStr">
        <is>
          <t>총시간</t>
        </is>
      </c>
      <c r="Y4" s="38" t="n"/>
      <c r="Z4" s="330" t="inlineStr">
        <is>
          <t>구분</t>
        </is>
      </c>
      <c r="AA4" s="331" t="inlineStr">
        <is>
          <t>학과</t>
        </is>
      </c>
      <c r="AB4" s="331" t="inlineStr">
        <is>
          <t>학원과정명</t>
        </is>
      </c>
      <c r="AC4" s="332" t="inlineStr">
        <is>
          <t>일반수강료</t>
        </is>
      </c>
      <c r="AD4" s="332" t="inlineStr">
        <is>
          <t>일수</t>
        </is>
      </c>
      <c r="AE4" s="332" t="inlineStr">
        <is>
          <t>일시간</t>
        </is>
      </c>
      <c r="AF4" s="333" t="inlineStr">
        <is>
          <t>총시간</t>
        </is>
      </c>
    </row>
    <row r="5" ht="14.25" customHeight="1" s="277" thickBot="1">
      <c r="B5" s="334" t="n"/>
      <c r="C5" s="335" t="n"/>
      <c r="D5" s="335" t="n"/>
      <c r="E5" s="335" t="n"/>
      <c r="F5" s="336" t="n"/>
      <c r="G5" s="336" t="n"/>
      <c r="H5" s="337" t="n"/>
      <c r="I5" s="38" t="n"/>
      <c r="J5" s="334" t="n"/>
      <c r="K5" s="335" t="n"/>
      <c r="L5" s="335" t="n"/>
      <c r="M5" s="335" t="n"/>
      <c r="N5" s="336" t="n"/>
      <c r="O5" s="336" t="n"/>
      <c r="P5" s="337" t="n"/>
      <c r="Q5" s="38" t="n"/>
      <c r="R5" s="338" t="n"/>
      <c r="S5" s="339" t="n"/>
      <c r="T5" s="339" t="n"/>
      <c r="U5" s="339" t="n"/>
      <c r="V5" s="339" t="n"/>
      <c r="W5" s="339" t="n"/>
      <c r="X5" s="340" t="n"/>
      <c r="Y5" s="38" t="n"/>
      <c r="Z5" s="338" t="n"/>
      <c r="AA5" s="339" t="n"/>
      <c r="AB5" s="339" t="n"/>
      <c r="AC5" s="339" t="n"/>
      <c r="AD5" s="339" t="n"/>
      <c r="AE5" s="339" t="n"/>
      <c r="AF5" s="340" t="n"/>
    </row>
    <row r="6">
      <c r="B6" s="341" t="inlineStr">
        <is>
          <t>평일
매일</t>
        </is>
      </c>
      <c r="C6" s="122" t="inlineStr">
        <is>
          <t>자격증</t>
        </is>
      </c>
      <c r="D6" s="126" t="inlineStr">
        <is>
          <t>모스</t>
        </is>
      </c>
      <c r="E6" s="342" t="n">
        <v>250000</v>
      </c>
      <c r="F6" s="343" t="n">
        <v>18</v>
      </c>
      <c r="G6" s="343" t="n">
        <v>2</v>
      </c>
      <c r="H6" s="344">
        <f>F6*G6</f>
        <v/>
      </c>
      <c r="I6" s="38" t="n"/>
      <c r="J6" s="341" t="inlineStr">
        <is>
          <t>평일
격일</t>
        </is>
      </c>
      <c r="K6" s="122" t="inlineStr">
        <is>
          <t>자격증</t>
        </is>
      </c>
      <c r="L6" s="126" t="inlineStr">
        <is>
          <t>모스</t>
        </is>
      </c>
      <c r="M6" s="342" t="n">
        <v>250000</v>
      </c>
      <c r="N6" s="343" t="n">
        <v>9</v>
      </c>
      <c r="O6" s="343" t="n">
        <v>3</v>
      </c>
      <c r="P6" s="344">
        <f>N6*O6</f>
        <v/>
      </c>
      <c r="Q6" s="38" t="n"/>
      <c r="R6" s="341" t="inlineStr">
        <is>
          <t>주말</t>
        </is>
      </c>
      <c r="S6" s="122" t="inlineStr">
        <is>
          <t>자격증</t>
        </is>
      </c>
      <c r="T6" s="126" t="inlineStr">
        <is>
          <t>모스/주말</t>
        </is>
      </c>
      <c r="U6" s="342" t="n">
        <v>250000</v>
      </c>
      <c r="V6" s="343" t="n">
        <v>10</v>
      </c>
      <c r="W6" s="343" t="n">
        <v>3</v>
      </c>
      <c r="X6" s="344">
        <f>W6*V6</f>
        <v/>
      </c>
      <c r="Y6" s="38" t="n"/>
      <c r="Z6" s="341" t="inlineStr">
        <is>
          <t>방학
특강</t>
        </is>
      </c>
      <c r="AA6" s="122" t="inlineStr">
        <is>
          <t>자격증</t>
        </is>
      </c>
      <c r="AB6" s="122" t="inlineStr">
        <is>
          <t>ITQ(방학)</t>
        </is>
      </c>
      <c r="AC6" s="345" t="n">
        <v>250000</v>
      </c>
      <c r="AD6" s="346" t="n">
        <v>10</v>
      </c>
      <c r="AE6" s="119" t="inlineStr">
        <is>
          <t>3</t>
        </is>
      </c>
      <c r="AF6" s="118">
        <f>AD6*AE6</f>
        <v/>
      </c>
    </row>
    <row r="7">
      <c r="B7" s="347" t="n"/>
      <c r="C7" s="335" t="n"/>
      <c r="D7" s="111" t="inlineStr">
        <is>
          <t>컴활1급</t>
        </is>
      </c>
      <c r="E7" s="348" t="n">
        <v>300000</v>
      </c>
      <c r="F7" s="349" t="n">
        <v>18</v>
      </c>
      <c r="G7" s="349" t="n">
        <v>2</v>
      </c>
      <c r="H7" s="350">
        <f>F7*G7</f>
        <v/>
      </c>
      <c r="I7" s="38" t="n"/>
      <c r="J7" s="347" t="n"/>
      <c r="K7" s="336" t="n"/>
      <c r="L7" s="111" t="inlineStr">
        <is>
          <t>컴활1급</t>
        </is>
      </c>
      <c r="M7" s="348" t="n">
        <v>300000</v>
      </c>
      <c r="N7" s="349" t="n">
        <v>9</v>
      </c>
      <c r="O7" s="349" t="n">
        <v>3</v>
      </c>
      <c r="P7" s="350">
        <f>N7*O7</f>
        <v/>
      </c>
      <c r="Q7" s="38" t="n"/>
      <c r="R7" s="347" t="n"/>
      <c r="S7" s="336" t="n"/>
      <c r="T7" s="111" t="inlineStr">
        <is>
          <t>컴활1급/주말</t>
        </is>
      </c>
      <c r="U7" s="348" t="n">
        <v>300000</v>
      </c>
      <c r="V7" s="349" t="n">
        <v>10</v>
      </c>
      <c r="W7" s="349" t="n">
        <v>3</v>
      </c>
      <c r="X7" s="350">
        <f>W7*V7</f>
        <v/>
      </c>
      <c r="Y7" s="38" t="n"/>
      <c r="Z7" s="347" t="n"/>
      <c r="AA7" s="336" t="n"/>
      <c r="AB7" s="117" t="inlineStr">
        <is>
          <t>모스(방학)</t>
        </is>
      </c>
      <c r="AC7" s="351" t="n">
        <v>250000</v>
      </c>
      <c r="AD7" s="352" t="n">
        <v>10</v>
      </c>
      <c r="AE7" s="114" t="inlineStr">
        <is>
          <t>3</t>
        </is>
      </c>
      <c r="AF7" s="112">
        <f>AD7*AE7</f>
        <v/>
      </c>
    </row>
    <row r="8">
      <c r="B8" s="347" t="n"/>
      <c r="C8" s="106" t="inlineStr">
        <is>
          <t>아트웍</t>
        </is>
      </c>
      <c r="D8" s="100" t="inlineStr">
        <is>
          <t>발상과표현</t>
        </is>
      </c>
      <c r="E8" s="353" t="n">
        <v>350000</v>
      </c>
      <c r="F8" s="354" t="n">
        <v>18</v>
      </c>
      <c r="G8" s="354" t="n">
        <v>2</v>
      </c>
      <c r="H8" s="355">
        <f>F8*G8</f>
        <v/>
      </c>
      <c r="I8" s="38" t="n"/>
      <c r="J8" s="347" t="n"/>
      <c r="K8" s="336" t="n"/>
      <c r="L8" s="111" t="inlineStr">
        <is>
          <t>전산회계1급</t>
        </is>
      </c>
      <c r="M8" s="348" t="n">
        <v>400000</v>
      </c>
      <c r="N8" s="349" t="n">
        <v>16</v>
      </c>
      <c r="O8" s="349" t="n">
        <v>3</v>
      </c>
      <c r="P8" s="350">
        <f>N8*O8</f>
        <v/>
      </c>
      <c r="Q8" s="38" t="n"/>
      <c r="R8" s="347" t="n"/>
      <c r="S8" s="336" t="n"/>
      <c r="T8" s="111" t="inlineStr">
        <is>
          <t>컬러실기(산업기사)/주말</t>
        </is>
      </c>
      <c r="U8" s="348" t="n">
        <v>400000</v>
      </c>
      <c r="V8" s="354" t="n">
        <v>8</v>
      </c>
      <c r="W8" s="354" t="n">
        <v>4</v>
      </c>
      <c r="X8" s="355">
        <f>W8*V8</f>
        <v/>
      </c>
      <c r="Y8" s="38" t="n"/>
      <c r="Z8" s="347" t="n"/>
      <c r="AA8" s="336" t="n"/>
      <c r="AB8" s="117" t="inlineStr">
        <is>
          <t>컴활2급(방학)</t>
        </is>
      </c>
      <c r="AC8" s="351" t="n">
        <v>250000</v>
      </c>
      <c r="AD8" s="352" t="n">
        <v>10</v>
      </c>
      <c r="AE8" s="114" t="inlineStr">
        <is>
          <t>3</t>
        </is>
      </c>
      <c r="AF8" s="112">
        <f>AD8*AE8</f>
        <v/>
      </c>
    </row>
    <row r="9">
      <c r="B9" s="347" t="n"/>
      <c r="C9" s="336" t="n"/>
      <c r="D9" s="100" t="inlineStr">
        <is>
          <t>색채학</t>
        </is>
      </c>
      <c r="E9" s="353" t="n">
        <v>350000</v>
      </c>
      <c r="F9" s="354" t="n">
        <v>18</v>
      </c>
      <c r="G9" s="354" t="n">
        <v>2</v>
      </c>
      <c r="H9" s="355">
        <f>F9*G9</f>
        <v/>
      </c>
      <c r="I9" s="38" t="n"/>
      <c r="J9" s="347" t="n"/>
      <c r="K9" s="335" t="n"/>
      <c r="L9" s="111" t="inlineStr">
        <is>
          <t>전산세무2급</t>
        </is>
      </c>
      <c r="M9" s="348" t="n">
        <v>400000</v>
      </c>
      <c r="N9" s="349" t="n">
        <v>16</v>
      </c>
      <c r="O9" s="349" t="n">
        <v>3</v>
      </c>
      <c r="P9" s="350">
        <f>N9*O9</f>
        <v/>
      </c>
      <c r="Q9" s="38" t="n"/>
      <c r="R9" s="347" t="n"/>
      <c r="S9" s="336" t="n"/>
      <c r="T9" s="111" t="inlineStr">
        <is>
          <t>컬러실기(기사)/주말</t>
        </is>
      </c>
      <c r="U9" s="348" t="n">
        <v>400000</v>
      </c>
      <c r="V9" s="354" t="n">
        <v>8</v>
      </c>
      <c r="W9" s="354" t="n">
        <v>4</v>
      </c>
      <c r="X9" s="355">
        <f>W9*V9</f>
        <v/>
      </c>
      <c r="Y9" s="38" t="n"/>
      <c r="Z9" s="347" t="n"/>
      <c r="AA9" s="335" t="n"/>
      <c r="AB9" s="111" t="inlineStr">
        <is>
          <t>컴활1급(방학)</t>
        </is>
      </c>
      <c r="AC9" s="348" t="n">
        <v>300000</v>
      </c>
      <c r="AD9" s="349" t="n">
        <v>10</v>
      </c>
      <c r="AE9" s="113" t="inlineStr">
        <is>
          <t>3</t>
        </is>
      </c>
      <c r="AF9" s="112">
        <f>AD9*AE9</f>
        <v/>
      </c>
    </row>
    <row r="10">
      <c r="B10" s="347" t="n"/>
      <c r="C10" s="336" t="n"/>
      <c r="D10" s="100" t="inlineStr">
        <is>
          <t>해부학</t>
        </is>
      </c>
      <c r="E10" s="353" t="n">
        <v>350000</v>
      </c>
      <c r="F10" s="354" t="n">
        <v>18</v>
      </c>
      <c r="G10" s="354" t="n">
        <v>2</v>
      </c>
      <c r="H10" s="355">
        <f>F10*G10</f>
        <v/>
      </c>
      <c r="I10" s="38" t="n"/>
      <c r="J10" s="347" t="n"/>
      <c r="K10" s="106" t="inlineStr">
        <is>
          <t>아트웍</t>
        </is>
      </c>
      <c r="L10" s="100" t="inlineStr">
        <is>
          <t>발상과표현</t>
        </is>
      </c>
      <c r="M10" s="353" t="n">
        <v>350000</v>
      </c>
      <c r="N10" s="354" t="n">
        <v>9</v>
      </c>
      <c r="O10" s="354" t="n">
        <v>3</v>
      </c>
      <c r="P10" s="355">
        <f>N10*O10</f>
        <v/>
      </c>
      <c r="Q10" s="38" t="n"/>
      <c r="R10" s="347" t="n"/>
      <c r="S10" s="335" t="n"/>
      <c r="T10" s="111" t="inlineStr">
        <is>
          <t>그래픽스기능사/주말</t>
        </is>
      </c>
      <c r="U10" s="348" t="n">
        <v>300000</v>
      </c>
      <c r="V10" s="349" t="n">
        <v>6</v>
      </c>
      <c r="W10" s="349" t="n">
        <v>3</v>
      </c>
      <c r="X10" s="350">
        <f>W10*V10</f>
        <v/>
      </c>
      <c r="Y10" s="38" t="n"/>
      <c r="Z10" s="347" t="n"/>
      <c r="AA10" s="105" t="inlineStr">
        <is>
          <t>광고편집</t>
        </is>
      </c>
      <c r="AB10" s="89" t="inlineStr">
        <is>
          <t>포토샵, 일러스트(방학)</t>
        </is>
      </c>
      <c r="AC10" s="356" t="n">
        <v>300000</v>
      </c>
      <c r="AD10" s="357" t="n">
        <v>10</v>
      </c>
      <c r="AE10" s="107" t="inlineStr">
        <is>
          <t>1.5</t>
        </is>
      </c>
      <c r="AF10" s="101">
        <f>AD10*AE10</f>
        <v/>
      </c>
    </row>
    <row r="11">
      <c r="B11" s="347" t="n"/>
      <c r="C11" s="336" t="n"/>
      <c r="D11" s="100" t="inlineStr">
        <is>
          <t>조소</t>
        </is>
      </c>
      <c r="E11" s="353" t="n">
        <v>350000</v>
      </c>
      <c r="F11" s="354" t="n">
        <v>18</v>
      </c>
      <c r="G11" s="354" t="n">
        <v>2</v>
      </c>
      <c r="H11" s="355">
        <f>F11*G11</f>
        <v/>
      </c>
      <c r="I11" s="38" t="n"/>
      <c r="J11" s="347" t="n"/>
      <c r="K11" s="336" t="n"/>
      <c r="L11" s="100" t="inlineStr">
        <is>
          <t>색채학</t>
        </is>
      </c>
      <c r="M11" s="353" t="n">
        <v>350000</v>
      </c>
      <c r="N11" s="354" t="n">
        <v>9</v>
      </c>
      <c r="O11" s="354" t="n">
        <v>3</v>
      </c>
      <c r="P11" s="355">
        <f>N11*O11</f>
        <v/>
      </c>
      <c r="Q11" s="38" t="n"/>
      <c r="R11" s="347" t="n"/>
      <c r="S11" s="106" t="inlineStr">
        <is>
          <t>아트웍</t>
        </is>
      </c>
      <c r="T11" s="99" t="inlineStr">
        <is>
          <t>디지털드로잉1~6/주말</t>
        </is>
      </c>
      <c r="U11" s="353" t="n">
        <v>500000</v>
      </c>
      <c r="V11" s="354" t="n">
        <v>8</v>
      </c>
      <c r="W11" s="354" t="n">
        <v>3</v>
      </c>
      <c r="X11" s="355">
        <f>W11*V11</f>
        <v/>
      </c>
      <c r="Y11" s="38" t="n"/>
      <c r="Z11" s="347" t="n"/>
      <c r="AA11" s="336" t="n"/>
      <c r="AB11" s="105" t="inlineStr">
        <is>
          <t>포토웍스, 디일러(방학)</t>
        </is>
      </c>
      <c r="AC11" s="358" t="n">
        <v>320000</v>
      </c>
      <c r="AD11" s="359" t="n">
        <v>10</v>
      </c>
      <c r="AE11" s="102" t="inlineStr">
        <is>
          <t>1.5</t>
        </is>
      </c>
      <c r="AF11" s="101">
        <f>AD11*AE11</f>
        <v/>
      </c>
    </row>
    <row r="12">
      <c r="B12" s="347" t="n"/>
      <c r="C12" s="336" t="n"/>
      <c r="D12" s="99" t="inlineStr">
        <is>
          <t>디지털드로잉1~6</t>
        </is>
      </c>
      <c r="E12" s="353" t="n">
        <v>500000</v>
      </c>
      <c r="F12" s="354" t="n">
        <v>18</v>
      </c>
      <c r="G12" s="354" t="n">
        <v>2</v>
      </c>
      <c r="H12" s="355">
        <f>F12*G12</f>
        <v/>
      </c>
      <c r="I12" s="38" t="n"/>
      <c r="J12" s="347" t="n"/>
      <c r="K12" s="336" t="n"/>
      <c r="L12" s="100" t="inlineStr">
        <is>
          <t>해부학</t>
        </is>
      </c>
      <c r="M12" s="353" t="n">
        <v>350000</v>
      </c>
      <c r="N12" s="354" t="n">
        <v>9</v>
      </c>
      <c r="O12" s="354" t="n">
        <v>3</v>
      </c>
      <c r="P12" s="355">
        <f>N12*O12</f>
        <v/>
      </c>
      <c r="Q12" s="38" t="n"/>
      <c r="R12" s="347" t="n"/>
      <c r="S12" s="105" t="inlineStr">
        <is>
          <t>광고편집</t>
        </is>
      </c>
      <c r="T12" s="89" t="inlineStr">
        <is>
          <t>포토샵, 일러스트/주말</t>
        </is>
      </c>
      <c r="U12" s="360" t="n">
        <v>350000</v>
      </c>
      <c r="V12" s="357" t="n">
        <v>8</v>
      </c>
      <c r="W12" s="357" t="n">
        <v>3</v>
      </c>
      <c r="X12" s="361">
        <f>W12*V12</f>
        <v/>
      </c>
      <c r="Y12" s="38" t="n"/>
      <c r="Z12" s="347" t="n"/>
      <c r="AA12" s="335" t="n"/>
      <c r="AB12" s="105" t="inlineStr">
        <is>
          <t>인디자인(방학)</t>
        </is>
      </c>
      <c r="AC12" s="358" t="n">
        <v>300000</v>
      </c>
      <c r="AD12" s="359" t="n">
        <v>10</v>
      </c>
      <c r="AE12" s="102" t="inlineStr">
        <is>
          <t>1.5</t>
        </is>
      </c>
      <c r="AF12" s="101">
        <f>AD12*AE12</f>
        <v/>
      </c>
    </row>
    <row r="13">
      <c r="B13" s="347" t="n"/>
      <c r="C13" s="335" t="n"/>
      <c r="D13" s="99" t="inlineStr">
        <is>
          <t>디드포폴1~4</t>
        </is>
      </c>
      <c r="E13" s="353" t="n">
        <v>600000</v>
      </c>
      <c r="F13" s="354" t="n">
        <v>18</v>
      </c>
      <c r="G13" s="354" t="n">
        <v>2</v>
      </c>
      <c r="H13" s="355">
        <f>F13*G13</f>
        <v/>
      </c>
      <c r="I13" s="38" t="n"/>
      <c r="J13" s="347" t="n"/>
      <c r="K13" s="336" t="n"/>
      <c r="L13" s="100" t="inlineStr">
        <is>
          <t>조소</t>
        </is>
      </c>
      <c r="M13" s="353" t="n">
        <v>350000</v>
      </c>
      <c r="N13" s="354" t="n">
        <v>9</v>
      </c>
      <c r="O13" s="354" t="n">
        <v>3</v>
      </c>
      <c r="P13" s="355">
        <f>N13*O13</f>
        <v/>
      </c>
      <c r="Q13" s="38" t="n"/>
      <c r="R13" s="347" t="n"/>
      <c r="S13" s="335" t="n"/>
      <c r="T13" s="89" t="inlineStr">
        <is>
          <t>포토웍스, 디일러/주말</t>
        </is>
      </c>
      <c r="U13" s="360" t="n">
        <v>400000</v>
      </c>
      <c r="V13" s="357" t="n">
        <v>8</v>
      </c>
      <c r="W13" s="357" t="n">
        <v>3</v>
      </c>
      <c r="X13" s="361">
        <f>W13*V13</f>
        <v/>
      </c>
      <c r="Y13" s="38" t="n"/>
      <c r="Z13" s="347" t="n"/>
      <c r="AA13" s="95" t="inlineStr">
        <is>
          <t>인테리어</t>
        </is>
      </c>
      <c r="AB13" s="95" t="inlineStr">
        <is>
          <t>캐드1~2(방학)</t>
        </is>
      </c>
      <c r="AC13" s="362" t="n">
        <v>300000</v>
      </c>
      <c r="AD13" s="363" t="n">
        <v>15</v>
      </c>
      <c r="AE13" s="92" t="inlineStr">
        <is>
          <t>1.5</t>
        </is>
      </c>
      <c r="AF13" s="91">
        <f>AD13*AE13</f>
        <v/>
      </c>
    </row>
    <row r="14">
      <c r="B14" s="347" t="n"/>
      <c r="C14" s="105" t="inlineStr">
        <is>
          <t>광고편집</t>
        </is>
      </c>
      <c r="D14" s="89" t="inlineStr">
        <is>
          <t>포토샵, 일러스트</t>
        </is>
      </c>
      <c r="E14" s="356" t="n">
        <v>350000</v>
      </c>
      <c r="F14" s="357" t="n">
        <v>18</v>
      </c>
      <c r="G14" s="357" t="n">
        <v>2</v>
      </c>
      <c r="H14" s="361">
        <f>F14*G14</f>
        <v/>
      </c>
      <c r="I14" s="38" t="n"/>
      <c r="J14" s="347" t="n"/>
      <c r="K14" s="335" t="n"/>
      <c r="L14" s="99" t="inlineStr">
        <is>
          <t>디지털드로잉1~6</t>
        </is>
      </c>
      <c r="M14" s="353" t="n">
        <v>500000</v>
      </c>
      <c r="N14" s="354" t="n">
        <v>9</v>
      </c>
      <c r="O14" s="354" t="n">
        <v>3</v>
      </c>
      <c r="P14" s="355">
        <f>N14*O14</f>
        <v/>
      </c>
      <c r="Q14" s="38" t="n"/>
      <c r="R14" s="347" t="n"/>
      <c r="S14" s="364" t="inlineStr">
        <is>
          <t>웹</t>
        </is>
      </c>
      <c r="T14" s="75" t="inlineStr">
        <is>
          <t>웹1~4/주말</t>
        </is>
      </c>
      <c r="U14" s="360" t="n">
        <v>400000</v>
      </c>
      <c r="V14" s="365" t="n">
        <v>8</v>
      </c>
      <c r="W14" s="365" t="n">
        <v>3</v>
      </c>
      <c r="X14" s="366">
        <f>W14*V14</f>
        <v/>
      </c>
      <c r="Y14" s="38" t="n"/>
      <c r="Z14" s="347" t="n"/>
      <c r="AA14" s="336" t="n"/>
      <c r="AB14" s="95" t="inlineStr">
        <is>
          <t>스케치업1~2(방학)</t>
        </is>
      </c>
      <c r="AC14" s="362" t="n">
        <v>350000</v>
      </c>
      <c r="AD14" s="363" t="n">
        <v>15</v>
      </c>
      <c r="AE14" s="92" t="inlineStr">
        <is>
          <t>1.5</t>
        </is>
      </c>
      <c r="AF14" s="91">
        <f>AD14*AE14</f>
        <v/>
      </c>
    </row>
    <row r="15">
      <c r="B15" s="347" t="n"/>
      <c r="C15" s="336" t="n"/>
      <c r="D15" s="89" t="inlineStr">
        <is>
          <t>포토웍스, 디일러</t>
        </is>
      </c>
      <c r="E15" s="356" t="n">
        <v>400000</v>
      </c>
      <c r="F15" s="357" t="n">
        <v>18</v>
      </c>
      <c r="G15" s="357" t="n">
        <v>2</v>
      </c>
      <c r="H15" s="361">
        <f>F15*G15</f>
        <v/>
      </c>
      <c r="I15" s="38" t="n"/>
      <c r="J15" s="347" t="n"/>
      <c r="K15" s="105" t="inlineStr">
        <is>
          <t>광고편집</t>
        </is>
      </c>
      <c r="L15" s="89" t="inlineStr">
        <is>
          <t>포토샵, 일러스트</t>
        </is>
      </c>
      <c r="M15" s="356" t="n">
        <v>350000</v>
      </c>
      <c r="N15" s="357" t="n">
        <v>9</v>
      </c>
      <c r="O15" s="357" t="n">
        <v>3</v>
      </c>
      <c r="P15" s="361">
        <f>N15*O15</f>
        <v/>
      </c>
      <c r="Q15" s="38" t="n"/>
      <c r="R15" s="347" t="n"/>
      <c r="S15" s="335" t="n"/>
      <c r="T15" s="75" t="inlineStr">
        <is>
          <t>웹디자인기능사/주말</t>
        </is>
      </c>
      <c r="U15" s="367" t="n">
        <v>350000</v>
      </c>
      <c r="V15" s="365" t="n">
        <v>8</v>
      </c>
      <c r="W15" s="365" t="n">
        <v>3</v>
      </c>
      <c r="X15" s="366">
        <f>W15*V15</f>
        <v/>
      </c>
      <c r="Y15" s="38" t="n"/>
      <c r="Z15" s="347" t="n"/>
      <c r="AA15" s="336" t="n"/>
      <c r="AB15" s="95" t="inlineStr">
        <is>
          <t>맥스1~2(방학)</t>
        </is>
      </c>
      <c r="AC15" s="362" t="n">
        <v>350000</v>
      </c>
      <c r="AD15" s="363" t="n">
        <v>15</v>
      </c>
      <c r="AE15" s="92" t="inlineStr">
        <is>
          <t>1.5</t>
        </is>
      </c>
      <c r="AF15" s="91">
        <f>AD15*AE15</f>
        <v/>
      </c>
    </row>
    <row r="16">
      <c r="B16" s="347" t="n"/>
      <c r="C16" s="335" t="n"/>
      <c r="D16" s="89" t="inlineStr">
        <is>
          <t>편집포폴1~2</t>
        </is>
      </c>
      <c r="E16" s="356" t="n">
        <v>500000</v>
      </c>
      <c r="F16" s="357" t="n">
        <v>18</v>
      </c>
      <c r="G16" s="357" t="n">
        <v>2</v>
      </c>
      <c r="H16" s="361">
        <f>F16*G16</f>
        <v/>
      </c>
      <c r="I16" s="38" t="n"/>
      <c r="J16" s="347" t="n"/>
      <c r="K16" s="336" t="n"/>
      <c r="L16" s="89" t="inlineStr">
        <is>
          <t>포토웍스, 디일러</t>
        </is>
      </c>
      <c r="M16" s="356" t="n">
        <v>400000</v>
      </c>
      <c r="N16" s="357" t="n">
        <v>9</v>
      </c>
      <c r="O16" s="357" t="n">
        <v>3</v>
      </c>
      <c r="P16" s="361">
        <f>N16*O16</f>
        <v/>
      </c>
      <c r="Q16" s="38" t="n"/>
      <c r="R16" s="347" t="n"/>
      <c r="S16" s="95" t="inlineStr">
        <is>
          <t>인테리어</t>
        </is>
      </c>
      <c r="T16" s="64" t="inlineStr">
        <is>
          <t>캐드/주말</t>
        </is>
      </c>
      <c r="U16" s="368" t="n">
        <v>500000</v>
      </c>
      <c r="V16" s="369" t="n">
        <v>14</v>
      </c>
      <c r="W16" s="369" t="n">
        <v>3</v>
      </c>
      <c r="X16" s="370">
        <f>W16*V16</f>
        <v/>
      </c>
      <c r="Y16" s="38" t="n"/>
      <c r="Z16" s="347" t="n"/>
      <c r="AA16" s="335" t="n"/>
      <c r="AB16" s="95" t="inlineStr">
        <is>
          <t>라이노1~2(방학)</t>
        </is>
      </c>
      <c r="AC16" s="362" t="n">
        <v>350000</v>
      </c>
      <c r="AD16" s="363" t="n">
        <v>15</v>
      </c>
      <c r="AE16" s="92" t="inlineStr">
        <is>
          <t>1.5</t>
        </is>
      </c>
      <c r="AF16" s="91">
        <f>AD16*AE16</f>
        <v/>
      </c>
    </row>
    <row r="17">
      <c r="B17" s="347" t="n"/>
      <c r="C17" s="364" t="inlineStr">
        <is>
          <t>웹</t>
        </is>
      </c>
      <c r="D17" s="75" t="inlineStr">
        <is>
          <t>웹1~6</t>
        </is>
      </c>
      <c r="E17" s="367" t="n">
        <v>400000</v>
      </c>
      <c r="F17" s="365" t="n">
        <v>18</v>
      </c>
      <c r="G17" s="365" t="n">
        <v>2</v>
      </c>
      <c r="H17" s="366">
        <f>F17*G17</f>
        <v/>
      </c>
      <c r="I17" s="38" t="n"/>
      <c r="J17" s="347" t="n"/>
      <c r="K17" s="336" t="n"/>
      <c r="L17" s="89" t="inlineStr">
        <is>
          <t>인디자인</t>
        </is>
      </c>
      <c r="M17" s="356" t="n">
        <v>350000</v>
      </c>
      <c r="N17" s="357" t="n">
        <v>9</v>
      </c>
      <c r="O17" s="357" t="n">
        <v>2</v>
      </c>
      <c r="P17" s="361">
        <f>N17*O17</f>
        <v/>
      </c>
      <c r="Q17" s="38" t="n"/>
      <c r="R17" s="347" t="n"/>
      <c r="S17" s="336" t="n"/>
      <c r="T17" s="64" t="inlineStr">
        <is>
          <t>스케치업1~2/주말</t>
        </is>
      </c>
      <c r="U17" s="360" t="n">
        <v>400000</v>
      </c>
      <c r="V17" s="369" t="n">
        <v>8</v>
      </c>
      <c r="W17" s="369" t="n">
        <v>3</v>
      </c>
      <c r="X17" s="370">
        <f>W17*V17</f>
        <v/>
      </c>
      <c r="Y17" s="38" t="n"/>
      <c r="Z17" s="347" t="n"/>
      <c r="AA17" s="371" t="inlineStr">
        <is>
          <t>모션</t>
        </is>
      </c>
      <c r="AB17" s="85" t="inlineStr">
        <is>
          <t>프리미어(방학)</t>
        </is>
      </c>
      <c r="AC17" s="372" t="n">
        <v>300000</v>
      </c>
      <c r="AD17" s="373" t="n">
        <v>8</v>
      </c>
      <c r="AE17" s="373" t="n">
        <v>3</v>
      </c>
      <c r="AF17" s="81">
        <f>AD17*AE17</f>
        <v/>
      </c>
    </row>
    <row r="18">
      <c r="B18" s="347" t="n"/>
      <c r="C18" s="335" t="n"/>
      <c r="D18" s="75" t="inlineStr">
        <is>
          <t>웹포폴1~2</t>
        </is>
      </c>
      <c r="E18" s="367" t="n">
        <v>500000</v>
      </c>
      <c r="F18" s="365" t="n">
        <v>18</v>
      </c>
      <c r="G18" s="365" t="n">
        <v>2</v>
      </c>
      <c r="H18" s="366">
        <f>F18*G18</f>
        <v/>
      </c>
      <c r="I18" s="38" t="n"/>
      <c r="J18" s="347" t="n"/>
      <c r="K18" s="336" t="n"/>
      <c r="L18" s="89" t="inlineStr">
        <is>
          <t>인포그래픽</t>
        </is>
      </c>
      <c r="M18" s="356" t="n">
        <v>400000</v>
      </c>
      <c r="N18" s="357" t="n">
        <v>9</v>
      </c>
      <c r="O18" s="357" t="n">
        <v>2</v>
      </c>
      <c r="P18" s="361">
        <f>N18*O18</f>
        <v/>
      </c>
      <c r="Q18" s="38" t="n"/>
      <c r="R18" s="347" t="n"/>
      <c r="S18" s="336" t="n"/>
      <c r="T18" s="64" t="inlineStr">
        <is>
          <t>BIM1~2/주말</t>
        </is>
      </c>
      <c r="U18" s="368" t="n">
        <v>400000</v>
      </c>
      <c r="V18" s="369" t="n">
        <v>8</v>
      </c>
      <c r="W18" s="369" t="n">
        <v>3</v>
      </c>
      <c r="X18" s="370">
        <f>W18*V18</f>
        <v/>
      </c>
      <c r="Y18" s="38" t="n"/>
      <c r="Z18" s="347" t="n"/>
      <c r="AA18" s="336" t="n"/>
      <c r="AB18" s="85" t="inlineStr">
        <is>
          <t>에펙(방학)</t>
        </is>
      </c>
      <c r="AC18" s="372" t="n">
        <v>350000</v>
      </c>
      <c r="AD18" s="373" t="n">
        <v>15</v>
      </c>
      <c r="AE18" s="82" t="inlineStr">
        <is>
          <t>1.5</t>
        </is>
      </c>
      <c r="AF18" s="81">
        <f>AD18*AE18</f>
        <v/>
      </c>
    </row>
    <row r="19" ht="16.5" customHeight="1" s="277">
      <c r="B19" s="347" t="n"/>
      <c r="C19" s="374" t="inlineStr">
        <is>
          <t>인테리어</t>
        </is>
      </c>
      <c r="D19" s="64" t="inlineStr">
        <is>
          <t>캐드1~2</t>
        </is>
      </c>
      <c r="E19" s="368" t="n">
        <v>350000</v>
      </c>
      <c r="F19" s="369" t="n">
        <v>18</v>
      </c>
      <c r="G19" s="369" t="n">
        <v>2</v>
      </c>
      <c r="H19" s="370">
        <f>F19*G19</f>
        <v/>
      </c>
      <c r="I19" s="90" t="n"/>
      <c r="J19" s="347" t="n"/>
      <c r="K19" s="336" t="n"/>
      <c r="L19" s="89" t="inlineStr">
        <is>
          <t>그래픽아트웍</t>
        </is>
      </c>
      <c r="M19" s="356" t="n">
        <v>400000</v>
      </c>
      <c r="N19" s="357" t="n">
        <v>9</v>
      </c>
      <c r="O19" s="357" t="n">
        <v>2</v>
      </c>
      <c r="P19" s="361">
        <f>N19*O19</f>
        <v/>
      </c>
      <c r="Q19" s="90" t="n"/>
      <c r="R19" s="347" t="n"/>
      <c r="S19" s="336" t="n"/>
      <c r="T19" s="64" t="inlineStr">
        <is>
          <t>인벤터/주말</t>
        </is>
      </c>
      <c r="U19" s="368" t="n">
        <v>400000</v>
      </c>
      <c r="V19" s="369" t="n">
        <v>8</v>
      </c>
      <c r="W19" s="369" t="n">
        <v>3</v>
      </c>
      <c r="X19" s="370">
        <f>W19*V19</f>
        <v/>
      </c>
      <c r="Y19" s="90" t="n"/>
      <c r="Z19" s="347" t="n"/>
      <c r="AA19" s="336" t="n"/>
      <c r="AB19" s="85" t="inlineStr">
        <is>
          <t>모션에펙(방학)</t>
        </is>
      </c>
      <c r="AC19" s="372" t="n">
        <v>350000</v>
      </c>
      <c r="AD19" s="373" t="n">
        <v>15</v>
      </c>
      <c r="AE19" s="82" t="inlineStr">
        <is>
          <t>1.5</t>
        </is>
      </c>
      <c r="AF19" s="81">
        <f>AD19*AE19</f>
        <v/>
      </c>
    </row>
    <row r="20">
      <c r="B20" s="347" t="n"/>
      <c r="C20" s="336" t="n"/>
      <c r="D20" s="64" t="inlineStr">
        <is>
          <t>맥스1~2</t>
        </is>
      </c>
      <c r="E20" s="368" t="n">
        <v>400000</v>
      </c>
      <c r="F20" s="369" t="n">
        <v>18</v>
      </c>
      <c r="G20" s="369" t="n">
        <v>2</v>
      </c>
      <c r="H20" s="370">
        <f>F20*G20</f>
        <v/>
      </c>
      <c r="I20" s="38" t="n"/>
      <c r="J20" s="347" t="n"/>
      <c r="K20" s="335" t="n"/>
      <c r="L20" s="89" t="inlineStr">
        <is>
          <t>편집포폴1~2</t>
        </is>
      </c>
      <c r="M20" s="356" t="n">
        <v>500000</v>
      </c>
      <c r="N20" s="357" t="n">
        <v>9</v>
      </c>
      <c r="O20" s="357" t="n">
        <v>3</v>
      </c>
      <c r="P20" s="361">
        <f>N20*O20</f>
        <v/>
      </c>
      <c r="Q20" s="38" t="n"/>
      <c r="R20" s="347" t="n"/>
      <c r="S20" s="336" t="n"/>
      <c r="T20" s="64" t="inlineStr">
        <is>
          <t>라이노1~2/주말</t>
        </is>
      </c>
      <c r="U20" s="368" t="n">
        <v>400000</v>
      </c>
      <c r="V20" s="369" t="n">
        <v>8</v>
      </c>
      <c r="W20" s="369" t="n">
        <v>3</v>
      </c>
      <c r="X20" s="370">
        <f>W20*V20</f>
        <v/>
      </c>
      <c r="Y20" s="38" t="n"/>
      <c r="Z20" s="347" t="n"/>
      <c r="AA20" s="335" t="n"/>
      <c r="AB20" s="85" t="inlineStr">
        <is>
          <t>시포디1~2(방학)</t>
        </is>
      </c>
      <c r="AC20" s="372" t="n">
        <v>450000</v>
      </c>
      <c r="AD20" s="373" t="n">
        <v>15</v>
      </c>
      <c r="AE20" s="82" t="inlineStr">
        <is>
          <t>1.5</t>
        </is>
      </c>
      <c r="AF20" s="81">
        <f>AD20*AE20</f>
        <v/>
      </c>
    </row>
    <row r="21">
      <c r="B21" s="347" t="n"/>
      <c r="C21" s="336" t="n"/>
      <c r="D21" s="64" t="inlineStr">
        <is>
          <t>스케치1~4</t>
        </is>
      </c>
      <c r="E21" s="368" t="n">
        <v>400000</v>
      </c>
      <c r="F21" s="369" t="n">
        <v>18</v>
      </c>
      <c r="G21" s="369" t="n">
        <v>2</v>
      </c>
      <c r="H21" s="370">
        <f>F21*G21</f>
        <v/>
      </c>
      <c r="I21" s="38" t="n"/>
      <c r="J21" s="347" t="n"/>
      <c r="K21" s="364" t="inlineStr">
        <is>
          <t>웹</t>
        </is>
      </c>
      <c r="L21" s="75" t="inlineStr">
        <is>
          <t>웹1~6</t>
        </is>
      </c>
      <c r="M21" s="367" t="n">
        <v>400000</v>
      </c>
      <c r="N21" s="365" t="n">
        <v>9</v>
      </c>
      <c r="O21" s="365" t="n">
        <v>3</v>
      </c>
      <c r="P21" s="366">
        <f>N21*O21</f>
        <v/>
      </c>
      <c r="Q21" s="38" t="n"/>
      <c r="R21" s="347" t="n"/>
      <c r="S21" s="336" t="n"/>
      <c r="T21" s="64" t="inlineStr">
        <is>
          <t>스케치1~4/주말</t>
        </is>
      </c>
      <c r="U21" s="360" t="n">
        <v>400000</v>
      </c>
      <c r="V21" s="369" t="n">
        <v>10</v>
      </c>
      <c r="W21" s="369" t="n">
        <v>3</v>
      </c>
      <c r="X21" s="370">
        <f>W21*V21</f>
        <v/>
      </c>
      <c r="Y21" s="38" t="n"/>
      <c r="Z21" s="347" t="n"/>
      <c r="AA21" s="375" t="inlineStr">
        <is>
          <t>프로그램</t>
        </is>
      </c>
      <c r="AB21" s="80" t="inlineStr">
        <is>
          <t>파이썬/방학</t>
        </is>
      </c>
      <c r="AC21" s="376" t="n">
        <v>400000</v>
      </c>
      <c r="AD21" s="377" t="n">
        <v>8</v>
      </c>
      <c r="AE21" s="80" t="n">
        <v>3</v>
      </c>
      <c r="AF21" s="76">
        <f>AE21*AD21</f>
        <v/>
      </c>
    </row>
    <row r="22">
      <c r="B22" s="347" t="n"/>
      <c r="C22" s="336" t="n"/>
      <c r="D22" s="64" t="inlineStr">
        <is>
          <t>제도1~4</t>
        </is>
      </c>
      <c r="E22" s="368" t="n">
        <v>400000</v>
      </c>
      <c r="F22" s="369" t="n">
        <v>18</v>
      </c>
      <c r="G22" s="369" t="n">
        <v>2</v>
      </c>
      <c r="H22" s="370">
        <f>F22*G22</f>
        <v/>
      </c>
      <c r="I22" s="38" t="n"/>
      <c r="J22" s="347" t="n"/>
      <c r="K22" s="335" t="n"/>
      <c r="L22" s="75" t="inlineStr">
        <is>
          <t>웹포폴1~2</t>
        </is>
      </c>
      <c r="M22" s="367" t="n">
        <v>500000</v>
      </c>
      <c r="N22" s="365" t="n">
        <v>9</v>
      </c>
      <c r="O22" s="365" t="n">
        <v>3</v>
      </c>
      <c r="P22" s="366">
        <f>N22*O22</f>
        <v/>
      </c>
      <c r="Q22" s="38" t="n"/>
      <c r="R22" s="347" t="n"/>
      <c r="S22" s="336" t="n"/>
      <c r="T22" s="64" t="inlineStr">
        <is>
          <t>제도1~4/주말</t>
        </is>
      </c>
      <c r="U22" s="360" t="n">
        <v>400000</v>
      </c>
      <c r="V22" s="369" t="n">
        <v>10</v>
      </c>
      <c r="W22" s="369" t="n">
        <v>3</v>
      </c>
      <c r="X22" s="370">
        <f>W22*V22</f>
        <v/>
      </c>
      <c r="Y22" s="38" t="n"/>
      <c r="Z22" s="347" t="n"/>
      <c r="AA22" s="336" t="n"/>
      <c r="AB22" s="71" t="inlineStr">
        <is>
          <t>C언어1~2/방학</t>
        </is>
      </c>
      <c r="AC22" s="378" t="n">
        <v>400000</v>
      </c>
      <c r="AD22" s="379" t="n">
        <v>15</v>
      </c>
      <c r="AE22" s="71" t="n">
        <v>1.5</v>
      </c>
      <c r="AF22" s="70">
        <f>AE22*AD22</f>
        <v/>
      </c>
    </row>
    <row r="23" ht="14.25" customHeight="1" s="277" thickBot="1">
      <c r="B23" s="347" t="n"/>
      <c r="C23" s="335" t="n"/>
      <c r="D23" s="64" t="inlineStr">
        <is>
          <t>인테리어포폴1~3</t>
        </is>
      </c>
      <c r="E23" s="368" t="n">
        <v>500000</v>
      </c>
      <c r="F23" s="369" t="n">
        <v>18</v>
      </c>
      <c r="G23" s="369" t="n">
        <v>2</v>
      </c>
      <c r="H23" s="370">
        <f>F23*G23</f>
        <v/>
      </c>
      <c r="I23" s="38" t="n"/>
      <c r="J23" s="347" t="n"/>
      <c r="K23" s="374" t="inlineStr">
        <is>
          <t>인테리어</t>
        </is>
      </c>
      <c r="L23" s="64" t="inlineStr">
        <is>
          <t>캐드1~2</t>
        </is>
      </c>
      <c r="M23" s="368" t="n">
        <v>350000</v>
      </c>
      <c r="N23" s="369" t="n">
        <v>9</v>
      </c>
      <c r="O23" s="369" t="n">
        <v>3</v>
      </c>
      <c r="P23" s="370">
        <f>N23*O23</f>
        <v/>
      </c>
      <c r="Q23" s="38" t="n"/>
      <c r="R23" s="347" t="n"/>
      <c r="S23" s="336" t="n"/>
      <c r="T23" s="64" t="inlineStr">
        <is>
          <t>시공실무/주말</t>
        </is>
      </c>
      <c r="U23" s="368" t="n">
        <v>300000</v>
      </c>
      <c r="V23" s="369" t="n">
        <v>8</v>
      </c>
      <c r="W23" s="369" t="n">
        <v>3</v>
      </c>
      <c r="X23" s="370">
        <f>W23*V23</f>
        <v/>
      </c>
      <c r="Y23" s="38" t="n"/>
      <c r="Z23" s="338" t="n"/>
      <c r="AA23" s="339" t="n"/>
      <c r="AB23" s="69" t="inlineStr">
        <is>
          <t>자바1~2/방학</t>
        </is>
      </c>
      <c r="AC23" s="380" t="n">
        <v>400000</v>
      </c>
      <c r="AD23" s="381" t="n">
        <v>15</v>
      </c>
      <c r="AE23" s="69" t="n">
        <v>1.5</v>
      </c>
      <c r="AF23" s="68">
        <f>AE23*AD23</f>
        <v/>
      </c>
    </row>
    <row r="24" ht="16.5" customHeight="1" s="277">
      <c r="B24" s="347" t="n"/>
      <c r="C24" s="371" t="inlineStr">
        <is>
          <t>모션그래픽</t>
        </is>
      </c>
      <c r="D24" s="55" t="inlineStr">
        <is>
          <t>프리미어</t>
        </is>
      </c>
      <c r="E24" s="382" t="n">
        <v>350000</v>
      </c>
      <c r="F24" s="383" t="n">
        <v>18</v>
      </c>
      <c r="G24" s="383" t="n">
        <v>2</v>
      </c>
      <c r="H24" s="384">
        <f>F24*G24</f>
        <v/>
      </c>
      <c r="I24" s="38" t="n"/>
      <c r="J24" s="347" t="n"/>
      <c r="K24" s="336" t="n"/>
      <c r="L24" s="64" t="inlineStr">
        <is>
          <t>스케치업1~2</t>
        </is>
      </c>
      <c r="M24" s="368" t="n">
        <v>400000</v>
      </c>
      <c r="N24" s="369" t="n">
        <v>9</v>
      </c>
      <c r="O24" s="369" t="n">
        <v>3</v>
      </c>
      <c r="P24" s="370">
        <f>N24*O24</f>
        <v/>
      </c>
      <c r="Q24" s="38" t="n"/>
      <c r="R24" s="347" t="n"/>
      <c r="S24" s="336" t="n"/>
      <c r="T24" s="64" t="inlineStr">
        <is>
          <t>전산응용건축제도/주말</t>
        </is>
      </c>
      <c r="U24" s="368" t="n">
        <v>450000</v>
      </c>
      <c r="V24" s="369" t="n">
        <v>8</v>
      </c>
      <c r="W24" s="369" t="n">
        <v>4</v>
      </c>
      <c r="X24" s="370">
        <f>W24*V24</f>
        <v/>
      </c>
      <c r="Y24" s="38" t="n"/>
      <c r="Z24" s="35" t="n"/>
      <c r="AA24" s="67" t="n"/>
      <c r="AB24" s="29" t="n"/>
      <c r="AC24" s="385" t="n"/>
      <c r="AD24" s="386" t="n"/>
      <c r="AE24" s="65" t="n"/>
      <c r="AF24" s="65" t="n"/>
    </row>
    <row r="25" ht="16.5" customHeight="1" s="277">
      <c r="B25" s="347" t="n"/>
      <c r="C25" s="336" t="n"/>
      <c r="D25" s="55" t="inlineStr">
        <is>
          <t>에펙</t>
        </is>
      </c>
      <c r="E25" s="382" t="n">
        <v>400000</v>
      </c>
      <c r="F25" s="383" t="n">
        <v>18</v>
      </c>
      <c r="G25" s="383" t="n">
        <v>2</v>
      </c>
      <c r="H25" s="384">
        <f>F25*G25</f>
        <v/>
      </c>
      <c r="I25" s="38" t="n"/>
      <c r="J25" s="347" t="n"/>
      <c r="K25" s="336" t="n"/>
      <c r="L25" s="64" t="inlineStr">
        <is>
          <t>맥스1~2</t>
        </is>
      </c>
      <c r="M25" s="368" t="n">
        <v>400000</v>
      </c>
      <c r="N25" s="369" t="n">
        <v>9</v>
      </c>
      <c r="O25" s="369" t="n">
        <v>3</v>
      </c>
      <c r="P25" s="370">
        <f>N25*O25</f>
        <v/>
      </c>
      <c r="Q25" s="38" t="n"/>
      <c r="R25" s="347" t="n"/>
      <c r="S25" s="336" t="n"/>
      <c r="T25" s="64" t="inlineStr">
        <is>
          <t>전산응용기계제도/주말</t>
        </is>
      </c>
      <c r="U25" s="368" t="n">
        <v>450000</v>
      </c>
      <c r="V25" s="369" t="n">
        <v>10</v>
      </c>
      <c r="W25" s="369" t="n">
        <v>4</v>
      </c>
      <c r="X25" s="370">
        <f>W25*V25</f>
        <v/>
      </c>
      <c r="Y25" s="38" t="n"/>
      <c r="Z25" s="35" t="n"/>
      <c r="AA25" s="67" t="n"/>
      <c r="AB25" s="29" t="n"/>
      <c r="AC25" s="385" t="n"/>
      <c r="AD25" s="386" t="n"/>
      <c r="AE25" s="65" t="n"/>
      <c r="AF25" s="65" t="n"/>
    </row>
    <row r="26" ht="17.25" customHeight="1" s="277" thickBot="1">
      <c r="B26" s="347" t="n"/>
      <c r="C26" s="336" t="n"/>
      <c r="D26" s="55" t="inlineStr">
        <is>
          <t>모션에펙</t>
        </is>
      </c>
      <c r="E26" s="382" t="n">
        <v>400000</v>
      </c>
      <c r="F26" s="383" t="n">
        <v>18</v>
      </c>
      <c r="G26" s="383" t="n">
        <v>2</v>
      </c>
      <c r="H26" s="384">
        <f>F26*G26</f>
        <v/>
      </c>
      <c r="I26" s="38" t="n"/>
      <c r="J26" s="347" t="n"/>
      <c r="K26" s="336" t="n"/>
      <c r="L26" s="64" t="inlineStr">
        <is>
          <t>스케치1~4</t>
        </is>
      </c>
      <c r="M26" s="368" t="n">
        <v>400000</v>
      </c>
      <c r="N26" s="369" t="n">
        <v>9</v>
      </c>
      <c r="O26" s="369" t="n">
        <v>3</v>
      </c>
      <c r="P26" s="370">
        <f>N26*O26</f>
        <v/>
      </c>
      <c r="Q26" s="38" t="n"/>
      <c r="R26" s="347" t="n"/>
      <c r="S26" s="336" t="n"/>
      <c r="T26" s="64" t="inlineStr">
        <is>
          <t>기계설계산업기사/주말</t>
        </is>
      </c>
      <c r="U26" s="368" t="n">
        <v>450000</v>
      </c>
      <c r="V26" s="369" t="n">
        <v>10</v>
      </c>
      <c r="W26" s="369" t="n">
        <v>4</v>
      </c>
      <c r="X26" s="370">
        <f>W26*V26</f>
        <v/>
      </c>
      <c r="Y26" s="38" t="n"/>
      <c r="Z26" s="35" t="n"/>
      <c r="AA26" s="36" t="n"/>
      <c r="AB26" s="33" t="n"/>
      <c r="AC26" s="387" t="n"/>
      <c r="AD26" s="386" t="n"/>
      <c r="AE26" s="65" t="n"/>
      <c r="AF26" s="65" t="n"/>
    </row>
    <row r="27" ht="16.5" customHeight="1" s="277">
      <c r="B27" s="347" t="n"/>
      <c r="C27" s="336" t="n"/>
      <c r="D27" s="55" t="inlineStr">
        <is>
          <t>시포디1~6</t>
        </is>
      </c>
      <c r="E27" s="382" t="n">
        <v>500000</v>
      </c>
      <c r="F27" s="383" t="n">
        <v>18</v>
      </c>
      <c r="G27" s="383" t="n">
        <v>2</v>
      </c>
      <c r="H27" s="384">
        <f>F27*G27</f>
        <v/>
      </c>
      <c r="I27" s="38" t="n"/>
      <c r="J27" s="347" t="n"/>
      <c r="K27" s="335" t="n"/>
      <c r="L27" s="64" t="inlineStr">
        <is>
          <t>제도1~4</t>
        </is>
      </c>
      <c r="M27" s="368" t="n">
        <v>400000</v>
      </c>
      <c r="N27" s="369" t="n">
        <v>9</v>
      </c>
      <c r="O27" s="369" t="n">
        <v>3</v>
      </c>
      <c r="P27" s="370">
        <f>N27*O27</f>
        <v/>
      </c>
      <c r="Q27" s="38" t="n"/>
      <c r="R27" s="347" t="n"/>
      <c r="S27" s="335" t="n"/>
      <c r="T27" s="64" t="inlineStr">
        <is>
          <t>일반기계기사/주말</t>
        </is>
      </c>
      <c r="U27" s="368" t="n">
        <v>450000</v>
      </c>
      <c r="V27" s="369" t="n">
        <v>10</v>
      </c>
      <c r="W27" s="369" t="n">
        <v>4</v>
      </c>
      <c r="X27" s="370">
        <f>W27*V27</f>
        <v/>
      </c>
      <c r="Y27" s="38" t="n"/>
      <c r="Z27" s="35" t="n"/>
      <c r="AA27" s="388" t="inlineStr">
        <is>
          <t>수정 - 2022. 11. 10</t>
        </is>
      </c>
      <c r="AB27" s="279" t="n"/>
      <c r="AC27" s="279" t="n"/>
      <c r="AD27" s="279" t="n"/>
      <c r="AE27" s="279" t="n"/>
      <c r="AF27" s="280" t="n"/>
    </row>
    <row r="28" ht="16.5" customHeight="1" s="277">
      <c r="B28" s="347" t="n"/>
      <c r="C28" s="335" t="n"/>
      <c r="D28" s="55" t="inlineStr">
        <is>
          <t>모션포폴1~2</t>
        </is>
      </c>
      <c r="E28" s="382" t="n">
        <v>600000</v>
      </c>
      <c r="F28" s="383" t="n">
        <v>18</v>
      </c>
      <c r="G28" s="383" t="n">
        <v>2</v>
      </c>
      <c r="H28" s="384">
        <f>F28*G28</f>
        <v/>
      </c>
      <c r="I28" s="38" t="n"/>
      <c r="J28" s="347" t="n"/>
      <c r="K28" s="371" t="inlineStr">
        <is>
          <t>모션</t>
        </is>
      </c>
      <c r="L28" s="55" t="inlineStr">
        <is>
          <t>유크리 기초/심화</t>
        </is>
      </c>
      <c r="M28" s="382" t="n">
        <v>400000</v>
      </c>
      <c r="N28" s="383" t="n">
        <v>9</v>
      </c>
      <c r="O28" s="383" t="n">
        <v>2</v>
      </c>
      <c r="P28" s="384">
        <f>N28*O28</f>
        <v/>
      </c>
      <c r="Q28" s="38" t="n"/>
      <c r="R28" s="347" t="n"/>
      <c r="S28" s="85" t="inlineStr">
        <is>
          <t>모션</t>
        </is>
      </c>
      <c r="T28" s="55" t="inlineStr">
        <is>
          <t>유크리 기초, 심화/주말</t>
        </is>
      </c>
      <c r="U28" s="382" t="n">
        <v>400000</v>
      </c>
      <c r="V28" s="383" t="n">
        <v>8</v>
      </c>
      <c r="W28" s="383" t="n">
        <v>3</v>
      </c>
      <c r="X28" s="384">
        <f>W28*V28</f>
        <v/>
      </c>
      <c r="Y28" s="38" t="n"/>
      <c r="Z28" s="35" t="n"/>
      <c r="AA28" s="281" t="n"/>
      <c r="AF28" s="282" t="n"/>
    </row>
    <row r="29" ht="16.5" customHeight="1" s="277">
      <c r="B29" s="347" t="n"/>
      <c r="C29" s="47" t="inlineStr">
        <is>
          <t>CG</t>
        </is>
      </c>
      <c r="D29" s="60" t="inlineStr">
        <is>
          <t>마야1~6</t>
        </is>
      </c>
      <c r="E29" s="389" t="n">
        <v>600000</v>
      </c>
      <c r="F29" s="390" t="n">
        <v>18</v>
      </c>
      <c r="G29" s="390" t="n">
        <v>2</v>
      </c>
      <c r="H29" s="391">
        <f>F29*G29</f>
        <v/>
      </c>
      <c r="I29" s="38" t="n"/>
      <c r="J29" s="347" t="n"/>
      <c r="K29" s="336" t="n"/>
      <c r="L29" s="55" t="inlineStr">
        <is>
          <t>프리미어</t>
        </is>
      </c>
      <c r="M29" s="382" t="n">
        <v>350000</v>
      </c>
      <c r="N29" s="383" t="n">
        <v>9</v>
      </c>
      <c r="O29" s="383" t="n">
        <v>3</v>
      </c>
      <c r="P29" s="384">
        <f>N29*O29</f>
        <v/>
      </c>
      <c r="Q29" s="38" t="n"/>
      <c r="R29" s="347" t="n"/>
      <c r="S29" s="336" t="n"/>
      <c r="T29" s="55" t="inlineStr">
        <is>
          <t>에펙/주말</t>
        </is>
      </c>
      <c r="U29" s="360" t="n">
        <v>400000</v>
      </c>
      <c r="V29" s="383" t="n">
        <v>8</v>
      </c>
      <c r="W29" s="383" t="n">
        <v>3</v>
      </c>
      <c r="X29" s="384">
        <f>W29*V29</f>
        <v/>
      </c>
      <c r="Y29" s="38" t="n"/>
      <c r="Z29" s="35" t="n"/>
      <c r="AA29" s="281" t="n"/>
      <c r="AF29" s="282" t="n"/>
    </row>
    <row r="30" ht="17.25" customHeight="1" s="277" thickBot="1">
      <c r="B30" s="338" t="n"/>
      <c r="C30" s="339" t="n"/>
      <c r="D30" s="46" t="inlineStr">
        <is>
          <t>마야포폴1~6</t>
        </is>
      </c>
      <c r="E30" s="392" t="n">
        <v>600000</v>
      </c>
      <c r="F30" s="393" t="n">
        <v>18</v>
      </c>
      <c r="G30" s="393" t="n">
        <v>2</v>
      </c>
      <c r="H30" s="394">
        <f>F30*G30</f>
        <v/>
      </c>
      <c r="I30" s="38" t="n"/>
      <c r="J30" s="347" t="n"/>
      <c r="K30" s="336" t="n"/>
      <c r="L30" s="55" t="inlineStr">
        <is>
          <t>에펙</t>
        </is>
      </c>
      <c r="M30" s="382" t="n">
        <v>400000</v>
      </c>
      <c r="N30" s="383" t="n">
        <v>9</v>
      </c>
      <c r="O30" s="383" t="n">
        <v>3</v>
      </c>
      <c r="P30" s="384">
        <f>N30*O30</f>
        <v/>
      </c>
      <c r="Q30" s="38" t="n"/>
      <c r="R30" s="347" t="n"/>
      <c r="S30" s="336" t="n"/>
      <c r="T30" s="55" t="inlineStr">
        <is>
          <t>모션에펙/주말</t>
        </is>
      </c>
      <c r="U30" s="360" t="n">
        <v>400000</v>
      </c>
      <c r="V30" s="383" t="n">
        <v>8</v>
      </c>
      <c r="W30" s="383" t="n">
        <v>3</v>
      </c>
      <c r="X30" s="384">
        <f>W30*V30</f>
        <v/>
      </c>
      <c r="Y30" s="38" t="n"/>
      <c r="Z30" s="35" t="n"/>
      <c r="AA30" s="281" t="n"/>
      <c r="AF30" s="282" t="n"/>
    </row>
    <row r="31" ht="16.5" customHeight="1" s="277">
      <c r="B31" s="38" t="n"/>
      <c r="C31" s="38" t="n"/>
      <c r="D31" s="38" t="n"/>
      <c r="E31" s="38" t="n"/>
      <c r="F31" s="38" t="n"/>
      <c r="G31" s="38" t="n"/>
      <c r="H31" s="38" t="n"/>
      <c r="I31" s="38" t="n"/>
      <c r="J31" s="347" t="n"/>
      <c r="K31" s="336" t="n"/>
      <c r="L31" s="55" t="inlineStr">
        <is>
          <t>모션에펙</t>
        </is>
      </c>
      <c r="M31" s="382" t="n">
        <v>400000</v>
      </c>
      <c r="N31" s="383" t="n">
        <v>9</v>
      </c>
      <c r="O31" s="383" t="n">
        <v>3</v>
      </c>
      <c r="P31" s="384">
        <f>N31*O31</f>
        <v/>
      </c>
      <c r="Q31" s="38" t="n"/>
      <c r="R31" s="347" t="n"/>
      <c r="S31" s="335" t="n"/>
      <c r="T31" s="55" t="inlineStr">
        <is>
          <t>시포디1~4/주말</t>
        </is>
      </c>
      <c r="U31" s="360" t="n">
        <v>500000</v>
      </c>
      <c r="V31" s="383" t="n">
        <v>8</v>
      </c>
      <c r="W31" s="383" t="n">
        <v>3</v>
      </c>
      <c r="X31" s="384">
        <f>W31*V31</f>
        <v/>
      </c>
      <c r="Y31" s="38" t="n"/>
      <c r="Z31" s="35" t="n"/>
      <c r="AA31" s="281" t="n"/>
      <c r="AF31" s="282" t="n"/>
    </row>
    <row r="32" ht="16.5" customHeight="1" s="277">
      <c r="B32" s="38" t="n"/>
      <c r="C32" s="38" t="n"/>
      <c r="D32" s="38" t="n"/>
      <c r="E32" s="38" t="n"/>
      <c r="F32" s="38" t="n"/>
      <c r="G32" s="38" t="n"/>
      <c r="H32" s="38" t="n"/>
      <c r="I32" s="38" t="n"/>
      <c r="J32" s="347" t="n"/>
      <c r="K32" s="336" t="n"/>
      <c r="L32" s="55" t="inlineStr">
        <is>
          <t>시포디1~6</t>
        </is>
      </c>
      <c r="M32" s="382" t="n">
        <v>500000</v>
      </c>
      <c r="N32" s="383" t="n">
        <v>9</v>
      </c>
      <c r="O32" s="383" t="n">
        <v>3</v>
      </c>
      <c r="P32" s="384">
        <f>N32*O32</f>
        <v/>
      </c>
      <c r="Q32" s="38" t="n"/>
      <c r="R32" s="347" t="n"/>
      <c r="S32" s="375" t="inlineStr">
        <is>
          <t>프로그램</t>
        </is>
      </c>
      <c r="T32" s="71" t="inlineStr">
        <is>
          <t>파이썬1~2/주말</t>
        </is>
      </c>
      <c r="U32" s="378" t="n">
        <v>400000</v>
      </c>
      <c r="V32" s="379" t="n">
        <v>8</v>
      </c>
      <c r="W32" s="379" t="n">
        <v>3</v>
      </c>
      <c r="X32" s="395">
        <f>W32*V32</f>
        <v/>
      </c>
      <c r="Y32" s="38" t="n"/>
      <c r="Z32" s="35" t="n"/>
      <c r="AA32" s="281" t="n"/>
      <c r="AF32" s="282" t="n"/>
    </row>
    <row r="33" ht="16.5" customHeight="1" s="277">
      <c r="B33" s="38" t="n"/>
      <c r="C33" s="38" t="n"/>
      <c r="D33" s="38" t="n"/>
      <c r="E33" s="38" t="n"/>
      <c r="F33" s="38" t="n"/>
      <c r="G33" s="38" t="n"/>
      <c r="H33" s="38" t="n"/>
      <c r="I33" s="38" t="n"/>
      <c r="J33" s="347" t="n"/>
      <c r="K33" s="335" t="n"/>
      <c r="L33" s="55" t="inlineStr">
        <is>
          <t>모션포폴1~2</t>
        </is>
      </c>
      <c r="M33" s="382" t="n">
        <v>600000</v>
      </c>
      <c r="N33" s="383" t="n">
        <v>9</v>
      </c>
      <c r="O33" s="383" t="n">
        <v>3</v>
      </c>
      <c r="P33" s="384">
        <f>N33*O33</f>
        <v/>
      </c>
      <c r="Q33" s="38" t="n"/>
      <c r="R33" s="347" t="n"/>
      <c r="S33" s="336" t="n"/>
      <c r="T33" s="71" t="inlineStr">
        <is>
          <t>C언어1~3/주말</t>
        </is>
      </c>
      <c r="U33" s="378" t="n">
        <v>400000</v>
      </c>
      <c r="V33" s="379" t="n">
        <v>8</v>
      </c>
      <c r="W33" s="379" t="n">
        <v>3</v>
      </c>
      <c r="X33" s="395">
        <f>W33*V33</f>
        <v/>
      </c>
      <c r="Y33" s="38" t="n"/>
      <c r="Z33" s="35" t="n"/>
      <c r="AA33" s="281" t="n"/>
      <c r="AF33" s="282" t="n"/>
    </row>
    <row r="34" ht="17.25" customHeight="1" s="277" thickBot="1">
      <c r="B34" s="38" t="n"/>
      <c r="C34" s="38" t="n"/>
      <c r="D34" s="38" t="n"/>
      <c r="E34" s="38" t="n"/>
      <c r="F34" s="38" t="n"/>
      <c r="G34" s="38" t="n"/>
      <c r="H34" s="38" t="n"/>
      <c r="I34" s="38" t="n"/>
      <c r="J34" s="338" t="n"/>
      <c r="K34" s="47" t="inlineStr">
        <is>
          <t>CG</t>
        </is>
      </c>
      <c r="L34" s="46" t="inlineStr">
        <is>
          <t>마야1~6</t>
        </is>
      </c>
      <c r="M34" s="392" t="n">
        <v>600000</v>
      </c>
      <c r="N34" s="393" t="n">
        <v>9</v>
      </c>
      <c r="O34" s="393" t="n">
        <v>3</v>
      </c>
      <c r="P34" s="394">
        <f>N34*O34</f>
        <v/>
      </c>
      <c r="Q34" s="38" t="n"/>
      <c r="R34" s="338" t="n"/>
      <c r="S34" s="339" t="n"/>
      <c r="T34" s="69" t="inlineStr">
        <is>
          <t>자바1~2/주말</t>
        </is>
      </c>
      <c r="U34" s="380" t="n">
        <v>400000</v>
      </c>
      <c r="V34" s="381" t="n">
        <v>8</v>
      </c>
      <c r="W34" s="381" t="n">
        <v>3</v>
      </c>
      <c r="X34" s="396">
        <f>W34*V34</f>
        <v/>
      </c>
      <c r="Y34" s="38" t="n"/>
      <c r="Z34" s="35" t="n"/>
      <c r="AA34" s="281" t="n"/>
      <c r="AF34" s="282" t="n"/>
    </row>
    <row r="35" ht="16.5" customHeight="1" s="277">
      <c r="B35" s="34" t="n"/>
      <c r="C35" s="38" t="n"/>
      <c r="D35" s="38" t="n"/>
      <c r="E35" s="38" t="n"/>
      <c r="F35" s="38" t="n"/>
      <c r="G35" s="38" t="n"/>
      <c r="H35" s="38" t="n"/>
      <c r="I35" s="38" t="n"/>
      <c r="J35" s="34" t="n"/>
      <c r="K35" s="38" t="n"/>
      <c r="L35" s="38" t="n"/>
      <c r="M35" s="38" t="n"/>
      <c r="N35" s="38" t="n"/>
      <c r="O35" s="38" t="n"/>
      <c r="P35" s="38" t="n"/>
      <c r="Q35" s="38" t="n"/>
      <c r="R35" s="35" t="n"/>
      <c r="S35" s="36" t="n"/>
      <c r="T35" s="33" t="n"/>
      <c r="U35" s="397" t="n"/>
      <c r="V35" s="398" t="n"/>
      <c r="W35" s="398" t="n"/>
      <c r="X35" s="398" t="n"/>
      <c r="Y35" s="38" t="n"/>
      <c r="Z35" s="35" t="n"/>
      <c r="AA35" s="281" t="n"/>
      <c r="AF35" s="282" t="n"/>
    </row>
    <row r="36" ht="16.5" customHeight="1" s="277">
      <c r="B36" s="34" t="n"/>
      <c r="C36" s="38" t="n"/>
      <c r="D36" s="38" t="n"/>
      <c r="E36" s="38" t="n"/>
      <c r="F36" s="38" t="n"/>
      <c r="G36" s="38" t="n"/>
      <c r="H36" s="38" t="n"/>
      <c r="I36" s="38" t="n"/>
      <c r="J36" s="34" t="n"/>
      <c r="K36" s="38" t="n"/>
      <c r="L36" s="38" t="n"/>
      <c r="M36" s="38" t="n"/>
      <c r="N36" s="38" t="n"/>
      <c r="O36" s="38" t="n"/>
      <c r="P36" s="38" t="n"/>
      <c r="Q36" s="38" t="n"/>
      <c r="R36" s="35" t="n"/>
      <c r="S36" s="36" t="n"/>
      <c r="T36" s="33" t="n"/>
      <c r="U36" s="397" t="n"/>
      <c r="V36" s="398" t="n"/>
      <c r="W36" s="398" t="n"/>
      <c r="X36" s="398" t="n"/>
      <c r="Y36" s="38" t="n"/>
      <c r="Z36" s="25" t="n"/>
      <c r="AA36" s="281" t="n"/>
      <c r="AF36" s="282" t="n"/>
    </row>
    <row r="37" ht="16.5" customHeight="1" s="277">
      <c r="B37" s="34" t="n"/>
      <c r="C37" s="36" t="n"/>
      <c r="D37" s="33" t="n"/>
      <c r="E37" s="399" t="n"/>
      <c r="F37" s="398" t="n"/>
      <c r="G37" s="398" t="n"/>
      <c r="H37" s="398" t="n"/>
      <c r="I37" s="38" t="n"/>
      <c r="J37" s="34" t="n"/>
      <c r="K37" s="36" t="n"/>
      <c r="L37" s="33" t="n"/>
      <c r="M37" s="399" t="n"/>
      <c r="N37" s="398" t="n"/>
      <c r="O37" s="398" t="n"/>
      <c r="P37" s="398" t="n"/>
      <c r="Q37" s="38" t="n"/>
      <c r="R37" s="35" t="n"/>
      <c r="S37" s="36" t="n"/>
      <c r="T37" s="33" t="n"/>
      <c r="U37" s="397" t="n"/>
      <c r="V37" s="398" t="n"/>
      <c r="W37" s="398" t="n"/>
      <c r="X37" s="398" t="n"/>
      <c r="Y37" s="38" t="n"/>
      <c r="Z37" s="25" t="n"/>
      <c r="AA37" s="281" t="n"/>
      <c r="AF37" s="282" t="n"/>
    </row>
    <row r="38" ht="16.5" customHeight="1" s="277">
      <c r="B38" s="34" t="n"/>
      <c r="C38" s="36" t="n"/>
      <c r="D38" s="33" t="n"/>
      <c r="E38" s="399" t="n"/>
      <c r="F38" s="398" t="n"/>
      <c r="G38" s="398" t="n"/>
      <c r="H38" s="398" t="n"/>
      <c r="I38" s="38" t="n"/>
      <c r="J38" s="34" t="n"/>
      <c r="K38" s="36" t="n"/>
      <c r="L38" s="33" t="n"/>
      <c r="M38" s="399" t="n"/>
      <c r="N38" s="398" t="n"/>
      <c r="O38" s="398" t="n"/>
      <c r="P38" s="398" t="n"/>
      <c r="Q38" s="38" t="n"/>
      <c r="R38" s="35" t="n"/>
      <c r="S38" s="30" t="n"/>
      <c r="T38" s="29" t="n"/>
      <c r="U38" s="387" t="n"/>
      <c r="V38" s="386" t="n"/>
      <c r="W38" s="386" t="n"/>
      <c r="X38" s="386" t="n"/>
      <c r="Y38" s="38" t="n"/>
      <c r="Z38" s="25" t="n"/>
      <c r="AA38" s="281" t="n"/>
      <c r="AF38" s="282" t="n"/>
    </row>
    <row r="39" ht="17.25" customHeight="1" s="277" thickBot="1">
      <c r="B39" s="34" t="n"/>
      <c r="C39" s="30" t="n"/>
      <c r="D39" s="33" t="n"/>
      <c r="E39" s="399" t="n"/>
      <c r="F39" s="398" t="n"/>
      <c r="G39" s="398" t="n"/>
      <c r="H39" s="398" t="n"/>
      <c r="I39" s="38" t="n"/>
      <c r="J39" s="34" t="n"/>
      <c r="K39" s="30" t="n"/>
      <c r="L39" s="33" t="n"/>
      <c r="M39" s="399" t="n"/>
      <c r="N39" s="398" t="n"/>
      <c r="O39" s="398" t="n"/>
      <c r="P39" s="398" t="n"/>
      <c r="Q39" s="38" t="n"/>
      <c r="R39" s="30" t="n"/>
      <c r="S39" s="30" t="n"/>
      <c r="T39" s="29" t="n"/>
      <c r="U39" s="387" t="n"/>
      <c r="V39" s="386" t="n"/>
      <c r="W39" s="386" t="n"/>
      <c r="X39" s="386" t="n"/>
      <c r="Y39" s="38" t="n"/>
      <c r="Z39" s="25" t="n"/>
      <c r="AA39" s="284" t="n"/>
      <c r="AB39" s="285" t="n"/>
      <c r="AC39" s="285" t="n"/>
      <c r="AD39" s="285" t="n"/>
      <c r="AE39" s="285" t="n"/>
      <c r="AF39" s="286" t="n"/>
    </row>
  </sheetData>
  <mergeCells count="58">
    <mergeCell ref="S6:S10"/>
    <mergeCell ref="R4:R5"/>
    <mergeCell ref="AA13:AA16"/>
    <mergeCell ref="C4:C5"/>
    <mergeCell ref="T4:T5"/>
    <mergeCell ref="K21:K22"/>
    <mergeCell ref="E4:E5"/>
    <mergeCell ref="V4:V5"/>
    <mergeCell ref="AB4:AB5"/>
    <mergeCell ref="B6:B30"/>
    <mergeCell ref="S14:S15"/>
    <mergeCell ref="C29:C30"/>
    <mergeCell ref="AF4:AF5"/>
    <mergeCell ref="O4:O5"/>
    <mergeCell ref="K15:K20"/>
    <mergeCell ref="AA21:AA23"/>
    <mergeCell ref="AA6:AA9"/>
    <mergeCell ref="K23:K27"/>
    <mergeCell ref="K10:K14"/>
    <mergeCell ref="B2:AF3"/>
    <mergeCell ref="D4:D5"/>
    <mergeCell ref="J4:J5"/>
    <mergeCell ref="AA4:AA5"/>
    <mergeCell ref="L4:L5"/>
    <mergeCell ref="AC4:AC5"/>
    <mergeCell ref="S16:S27"/>
    <mergeCell ref="AA27:AF39"/>
    <mergeCell ref="C19:C23"/>
    <mergeCell ref="S32:S34"/>
    <mergeCell ref="Z6:Z23"/>
    <mergeCell ref="S28:S31"/>
    <mergeCell ref="G4:G5"/>
    <mergeCell ref="X4:X5"/>
    <mergeCell ref="C17:C18"/>
    <mergeCell ref="Z4:Z5"/>
    <mergeCell ref="K4:K5"/>
    <mergeCell ref="C14:C16"/>
    <mergeCell ref="C24:C28"/>
    <mergeCell ref="AA10:AA12"/>
    <mergeCell ref="S4:S5"/>
    <mergeCell ref="AD4:AD5"/>
    <mergeCell ref="U4:U5"/>
    <mergeCell ref="J6:J34"/>
    <mergeCell ref="C8:C13"/>
    <mergeCell ref="R6:R34"/>
    <mergeCell ref="B4:B5"/>
    <mergeCell ref="M4:M5"/>
    <mergeCell ref="F4:F5"/>
    <mergeCell ref="W4:W5"/>
    <mergeCell ref="AA17:AA20"/>
    <mergeCell ref="H4:H5"/>
    <mergeCell ref="AE4:AE5"/>
    <mergeCell ref="N4:N5"/>
    <mergeCell ref="P4:P5"/>
    <mergeCell ref="C6:C7"/>
    <mergeCell ref="S12:S13"/>
    <mergeCell ref="K6:K9"/>
    <mergeCell ref="K28:K3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sbs</dc:creator>
  <dcterms:created xmlns:dcterms="http://purl.org/dc/terms/" xmlns:xsi="http://www.w3.org/2001/XMLSchema-instance" xsi:type="dcterms:W3CDTF">2020-05-18T08:45:09Z</dcterms:created>
  <dcterms:modified xmlns:dcterms="http://purl.org/dc/terms/" xmlns:xsi="http://www.w3.org/2001/XMLSchema-instance" xsi:type="dcterms:W3CDTF">2026-04-25T02:47:40Z</dcterms:modified>
  <cp:lastModifiedBy>SBS</cp:lastModifiedBy>
  <cp:lastPrinted>2025-11-03T03:59:30Z</cp:lastPrinted>
</cp:coreProperties>
</file>